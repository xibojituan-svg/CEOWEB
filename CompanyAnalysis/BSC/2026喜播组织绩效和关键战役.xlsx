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2025" sheetId="1" r:id="rId1"/>
    <sheet name="2026第一曲线" sheetId="2" r:id="rId2"/>
    <sheet name="2026第二曲线" sheetId="3" r:id="rId3"/>
    <sheet name="关键战役" sheetId="4" r:id="rId4"/>
    <sheet name="核心岗位" sheetId="5" r:id="rId5"/>
  </sheets>
  <calcPr calcId="0"/>
</workbook>
</file>

<file path=xl/sharedStrings.xml><?xml version="1.0" encoding="utf-8"?>
<sst xmlns="http://schemas.openxmlformats.org/spreadsheetml/2006/main">
  <si>
    <t>考核指标</t>
  </si>
  <si>
    <t>25年H1考核</t>
  </si>
  <si>
    <t>F24实际值</t>
  </si>
  <si>
    <t>F25-Q1实际值</t>
  </si>
  <si>
    <t>F25-Q2-目标值</t>
  </si>
  <si>
    <t>F25目标值</t>
  </si>
  <si>
    <t>YOY</t>
  </si>
  <si>
    <t>评分方法 —单项最高5分
（1/2/3/4/5分） 3分为达到目标值</t>
  </si>
  <si>
    <t>关键因指标说明</t>
  </si>
  <si>
    <t>指标确定</t>
  </si>
  <si>
    <t>口径明确</t>
  </si>
  <si>
    <t>数据可取</t>
  </si>
  <si>
    <t>数据已取</t>
  </si>
  <si>
    <t>确定目标</t>
  </si>
  <si>
    <t>&gt;业务BSC</t>
  </si>
  <si>
    <t>维度</t>
  </si>
  <si>
    <t>指标名称</t>
  </si>
  <si>
    <t>指标定义</t>
  </si>
  <si>
    <t>指标数值计算方法</t>
  </si>
  <si>
    <t>数据来源</t>
  </si>
  <si>
    <t>权重</t>
  </si>
  <si>
    <r>
      <rPr>
        <b/>
        <rFont val="Microsoft YaHei"/>
        <sz val="10"/>
      </rPr>
      <t xml:space="preserve">实际值</t>
    </r>
    <r>
      <t xml:space="preserve">
</t>
    </r>
    <r>
      <rPr>
        <b/>
        <rFont val="Microsoft YaHei"/>
        <sz val="8"/>
      </rPr>
      <t xml:space="preserve">（如果目标设置有Q2或者H1，则放Q2或者H1数值；如果目标设置只有全年，则放H1的数值）</t>
    </r>
  </si>
  <si>
    <r>
      <rPr>
        <b/>
        <rFont val="Microsoft YaHei"/>
        <sz val="10"/>
      </rPr>
      <t xml:space="preserve">YOY</t>
    </r>
    <r>
      <t xml:space="preserve">
</t>
    </r>
    <r>
      <rPr>
        <b/>
        <rFont val="Microsoft YaHei"/>
        <sz val="8"/>
      </rPr>
      <t xml:space="preserve">（同周期年同比）</t>
    </r>
  </si>
  <si>
    <r>
      <rPr>
        <b/>
        <rFont val="Microsoft YaHei"/>
        <sz val="10"/>
      </rPr>
      <t xml:space="preserve">目标设置周期</t>
    </r>
    <r>
      <t xml:space="preserve">
</t>
    </r>
    <r>
      <rPr>
        <b/>
        <rFont val="Microsoft YaHei"/>
        <sz val="8"/>
      </rPr>
      <t xml:space="preserve">（25Q2/25H1/25年全年）</t>
    </r>
  </si>
  <si>
    <r>
      <rPr>
        <b/>
        <rFont val="Microsoft YaHei"/>
        <sz val="10"/>
      </rPr>
      <t xml:space="preserve">目标值/评分标准</t>
    </r>
    <r>
      <t xml:space="preserve">
</t>
    </r>
    <r>
      <rPr>
        <b/>
        <rFont val="Microsoft YaHei"/>
        <sz val="8"/>
      </rPr>
      <t xml:space="preserve">（1/2/3/4/5分）</t>
    </r>
  </si>
  <si>
    <r>
      <rPr>
        <b/>
        <rFont val="Microsoft YaHei"/>
        <sz val="10"/>
      </rPr>
      <t xml:space="preserve">完成情况/说明</t>
    </r>
    <r>
      <t xml:space="preserve">
</t>
    </r>
    <r>
      <rPr>
        <b/>
        <rFont val="Microsoft YaHei"/>
        <sz val="8"/>
      </rPr>
      <t xml:space="preserve">（如果是Q2或者H1的值，则前面实际值也放这个周期、最后计算目标完成率或得分）</t>
    </r>
  </si>
  <si>
    <t>数值</t>
  </si>
  <si>
    <t>单位</t>
  </si>
  <si>
    <t>%</t>
  </si>
  <si>
    <t>关键因指标</t>
  </si>
  <si>
    <t>是否建议加入考核</t>
  </si>
  <si>
    <t>因指标的关键动作</t>
  </si>
  <si>
    <t>25年数据</t>
  </si>
  <si>
    <t>核心策略与结果</t>
  </si>
  <si>
    <t>指标口径</t>
  </si>
  <si>
    <t>目标值</t>
  </si>
  <si>
    <t>评分方法</t>
  </si>
  <si>
    <t>财务</t>
  </si>
  <si>
    <t>收入</t>
  </si>
  <si>
    <t>训练营收入+硬件收入，不含税，扣除退款</t>
  </si>
  <si>
    <t>年总和</t>
  </si>
  <si>
    <t>FBP</t>
  </si>
  <si>
    <t>1-5月数据：37570
1-6月预估数据：45200（准确数值07.10 之后可出）</t>
  </si>
  <si>
    <t>H1
3分：32000
4分： 35200
5分： 38400</t>
  </si>
  <si>
    <t>万</t>
  </si>
  <si>
    <t>&gt;0分：低于67,000万
&gt;1分：[67,000,70000)
&gt;2分：[70000,75000)
&gt;3分：75,000万
&gt;5分：90,000万
3到5分之间线性计算</t>
  </si>
  <si>
    <t>主播学院：82,900万
AI训练营：11,200万
（其中11、12月为预估）</t>
  </si>
  <si>
    <t>喜播FBP-艳敏</t>
  </si>
  <si>
    <t>√</t>
  </si>
  <si>
    <t>净营收</t>
  </si>
  <si>
    <t>营业收入-退费-增值税费</t>
  </si>
  <si>
    <t>财务口径</t>
  </si>
  <si>
    <t>7.5亿</t>
  </si>
  <si>
    <t>8＜X 1.3
7＜X≤8 1
6＜X≤7 0.8
5＜X≤6 0.5
X≤5 0</t>
  </si>
  <si>
    <t>净利润</t>
  </si>
  <si>
    <t>收入扣减站内外流量成本，兼职服务成本，人力成本及集团分摊后的管理净利润</t>
  </si>
  <si>
    <t>1-5月数据：10348
1-6月预估数据：11,900 （准确数据07.10 之后可出）</t>
  </si>
  <si>
    <t>H1
3分：6312
4分： 6996
5分： 7680</t>
  </si>
  <si>
    <t>&gt;0分：低于14,000万
&gt;1分：[14000,14700)
&gt;2分：[14700,15500)
&gt;3分：15,500万
&gt;5分：18,000万
3到5分之间线性计算</t>
  </si>
  <si>
    <t>主播学院：19,516万
AI训练营：4,480万
（其中11、12月为预估）</t>
  </si>
  <si>
    <t>营业收入-退费-增值税费-销售费用--管理费用-运营成本</t>
  </si>
  <si>
    <t>1.5亿</t>
  </si>
  <si>
    <t>1.6＜X 1.3
1.4＜X≤1.6 1
1.2＜X≤1.4 0.8
1＜X≤1.2 0.5
X≤1 0</t>
  </si>
  <si>
    <t>客户</t>
  </si>
  <si>
    <t>由于喜播自身责任被监管认定为违法的投诉量</t>
  </si>
  <si>
    <r>
      <rPr>
        <color rgb="FFFE0300"/>
        <sz val="9"/>
      </rPr>
      <t xml:space="preserve">24年以来上海互联网行业监管投诉呈现大幅上涨趋势，监管要求各公司严控投诉，喜播投诉原因聚焦在承诺收益和就业交付，学员情绪易过激且具有更高的违规风险，故成为监管部门关注的重点。其中，被认定为违法的监管投诉案件可能会导致监管约谈/公众号曝光，对公司舆论环境造成严重影响，并影响“无违规证明”等企业IPO关键材料的出具。</t>
    </r>
    <r>
      <t xml:space="preserve">
</t>
    </r>
    <r>
      <t xml:space="preserve">
</t>
    </r>
    <r>
      <t xml:space="preserve">
</t>
    </r>
    <r>
      <rPr>
        <b/>
        <color rgb="FFFE0300"/>
        <sz val="9"/>
      </rPr>
      <t xml:space="preserve">指标定义</t>
    </r>
    <r>
      <rPr>
        <color rgb="FFFE0300"/>
        <sz val="9"/>
      </rPr>
      <t xml:space="preserve">：</t>
    </r>
    <r>
      <t xml:space="preserve">
</t>
    </r>
    <r>
      <rPr>
        <color rgb="FFFE0300"/>
        <sz val="9"/>
      </rPr>
      <t xml:space="preserve">由于喜播自身责任被监管认定投诉违法的案件量：由于违反广告法、消保法等原因，喜播的监管投诉被监管部门认定为违法并被出具《处罚决定书》。</t>
    </r>
    <r>
      <t xml:space="preserve">
</t>
    </r>
    <r>
      <rPr>
        <color rgb="FFFE0300"/>
        <sz val="9"/>
      </rPr>
      <t xml:space="preserve">处罚金额：监管《处罚决定书》中认定的罚款金额。</t>
    </r>
  </si>
  <si>
    <t>累计</t>
  </si>
  <si>
    <t>喜播客服</t>
  </si>
  <si>
    <t>喜播自身责任被监管认定投诉违法的案件量=0，且处罚金额=0</t>
  </si>
  <si>
    <t>-</t>
  </si>
  <si>
    <t>25年全年</t>
  </si>
  <si>
    <t>全年：
1分：喜播自身责任被监管认定投诉违法的案件量&gt;2，且被罚款
2分：喜播自身责任被监管认定投诉违法的案件量=2，且被罚款
3分：喜播自身责任被监管认定投诉违法的案件量=1，且无法减免处罚
4分：喜播自身责任被监管认定投诉违法的案件量=1，但争取到减免处罚
5分：喜播自身责任被监管认定投诉违法的案件量=0，且处罚金额=0</t>
  </si>
  <si>
    <t>
全年目标完成度：100%
Q2目标完成度：100%
当前该指标目标完成度较高</t>
  </si>
  <si>
    <t>件</t>
  </si>
  <si>
    <t>1分：喜播自身责任被监管认定投诉违法的案件量&gt;2，且被罚款
2分：喜播自身责任被监管认定投诉违法的案件量=2，且被罚款
3分：喜播自身责任被监管认定投诉违法的案件量=1，且无法减免处罚
4分：喜播自身责任被监管认定投诉违法的案件量=1，但争取到减免处罚
5分：喜播自身责任被监管认定投诉违法的案件量=0，且处罚金额=0</t>
  </si>
  <si>
    <t>从三个方面作功，
员工行为层面，重点整治高危违规行为。在明确4大高危违规行为质检细则的基础上，做好考核宣贯，并不断提升监控渠道覆盖度，并通过AI质检产品能力快速发现高危问题推动征整改；
用户画像层面，优化大黑学员退款流程。定义和识别“老弱小”三类大黑用户，针对大黑用户退款请求，高优审核并跳过挽单环节，避免投诉高风险投诉外溢；
政府监管层面，政企协同共筑安全屏障。维护与上海和嘉兴监管部门的良好关系，不定期拜访并拉齐退款规则，降风险低超额退费和群诉风险。最终，实现喜播自身责任被监管认定投诉违法的案件量=0，且处罚金额=0。</t>
  </si>
  <si>
    <t>客户体验-康杰</t>
  </si>
  <si>
    <r>
      <rPr>
        <color rgb="FFFE0300"/>
        <rFont val="Microsoft YaHei"/>
        <sz val="9"/>
      </rPr>
      <t xml:space="preserve">每万人投诉次数</t>
    </r>
    <r>
      <t xml:space="preserve">
</t>
    </r>
    <r>
      <rPr>
        <i/>
        <color rgb="FFFE0300"/>
        <rFont val="Microsoft YaHei"/>
        <sz val="9"/>
      </rPr>
      <t xml:space="preserve">（控制安全的能力）</t>
    </r>
  </si>
  <si>
    <r>
      <rPr>
        <color rgb="FFFE0300"/>
        <rFont val="Microsoft YaHei"/>
        <sz val="9"/>
      </rPr>
      <t xml:space="preserve">通过AI质检智能体的方式，实现多位AI agent联动，“agent1判断识别转化服务过程的记录→agent2/3复核验证准确性→实时拦截/升级处理→违规严格处罚→完善判断依据”的链路，最总实现投诉次数降低</t>
    </r>
    <r>
      <t xml:space="preserve">
</t>
    </r>
    <r>
      <rPr>
        <color rgb="FFFE0300"/>
        <rFont val="Microsoft YaHei"/>
        <sz val="9"/>
      </rPr>
      <t xml:space="preserve">通过引入AI能力，从引流课、转化、教学、就业环节进行100%监控，早发现早干预，特别是结合从AI助教（偏向销售型就业指导）切入梳理不满意的早期特征，形成预警到干预的流程SOP，再从AI班主任，AI就业撮合扩展全链条服务。</t>
    </r>
    <r>
      <t xml:space="preserve">
</t>
    </r>
    <r>
      <rPr>
        <b/>
        <color rgb="FFFE0300"/>
        <rFont val="Microsoft YaHei"/>
        <sz val="9"/>
      </rPr>
      <t xml:space="preserve">衡量意义：</t>
    </r>
    <r>
      <rPr>
        <color rgb="FFFE0300"/>
        <rFont val="Microsoft YaHei"/>
        <sz val="9"/>
      </rPr>
      <t xml:space="preserve">在喜播业务量增长环境下，每万人投诉次数下降可以反映人均投诉次数减少、整体用户体验提升</t>
    </r>
    <r>
      <t xml:space="preserve">
</t>
    </r>
    <r>
      <rPr>
        <b/>
        <color rgb="FFFE0300"/>
        <rFont val="Microsoft YaHei"/>
        <sz val="9"/>
      </rPr>
      <t xml:space="preserve">指标定义：</t>
    </r>
    <r>
      <rPr>
        <color rgb="FFFE0300"/>
        <rFont val="Microsoft YaHei"/>
        <sz val="9"/>
      </rPr>
      <t xml:space="preserve">每万人体验营加微学员的投诉次数总量，渠道包含：喜马拉雅主站客服接到的投诉量、喜播学堂小程序接收到的投诉量、外部投诉到市监所&amp;消协的案件总量。</t>
    </r>
    <r>
      <t xml:space="preserve">
</t>
    </r>
    <r>
      <rPr>
        <b/>
        <color rgb="FFFE0300"/>
        <rFont val="Microsoft YaHei"/>
        <sz val="9"/>
      </rPr>
      <t xml:space="preserve">计算公式：</t>
    </r>
    <r>
      <rPr>
        <color rgb="FFFE0300"/>
        <rFont val="Microsoft YaHei"/>
        <sz val="9"/>
      </rPr>
      <t xml:space="preserve">每万人投诉次数=投诉总量（不去重，按照人次计算）/ 体验营加微数*10000</t>
    </r>
    <r>
      <t xml:space="preserve">
</t>
    </r>
    <r>
      <t xml:space="preserve">
</t>
    </r>
    <r>
      <rPr>
        <color rgb="FFFE0300"/>
        <rFont val="Microsoft YaHei"/>
        <sz val="9"/>
      </rPr>
      <t xml:space="preserve">备注：</t>
    </r>
    <r>
      <t xml:space="preserve">
</t>
    </r>
    <r>
      <rPr>
        <color rgb="FFFE0300"/>
        <rFont val="Microsoft YaHei"/>
        <sz val="9"/>
      </rPr>
      <t xml:space="preserve">（1）投诉量需要拆分到四级分类，筛选出代表用户不满意的投诉量（四级分类规则见：</t>
    </r>
    <r>
      <rPr>
        <color theme="10"/>
        <u/>
        <sz val="9"/>
      </rPr>
      <t xml:space="preserve">BSC 指标参考数据</t>
    </r>
    <r>
      <rPr>
        <color rgb="FFFE0300"/>
        <rFont val="Microsoft YaHei"/>
        <sz val="9"/>
      </rPr>
      <t xml:space="preserve">）</t>
    </r>
    <r>
      <t xml:space="preserve">
</t>
    </r>
    <r>
      <rPr>
        <color rgb="FFFE0300"/>
        <rFont val="Microsoft YaHei"/>
        <sz val="9"/>
      </rPr>
      <t xml:space="preserve">（2）指标计算：按照营期维度聚合计算，每月数据计算结营时间落在当月的所有营期</t>
    </r>
    <r>
      <t xml:space="preserve">
</t>
    </r>
    <r>
      <rPr>
        <color rgb="FFFE0300"/>
        <rFont val="Microsoft YaHei"/>
        <sz val="9"/>
      </rPr>
      <t xml:space="preserve">（3）统计逻辑： 月度指标，每月看月末最后一天累计数据</t>
    </r>
  </si>
  <si>
    <t>月均值（加权平均）</t>
  </si>
  <si>
    <t>全年： 
1分：13.6或以上
2分：12.2及以下
3分：10.9及以下
4分：9.5及以下
5分：8.2及以下
（25年收入增幅主要来自复购策略，当前万人投诉量的分母为体验营加微数，并不会因为复购策略而出现明显波动。但学员的人均消费金额和购课数量增加，学习时间也同步拉长，由此会产生投诉量的自然增长。24年全年万人投诉量实际9.54，考虑到25年收入目标需要对比24年增长43%，相应base值应该考虑到收入增加引起的投诉自然增长，设定为9.54*143%=13.6）</t>
  </si>
  <si>
    <t>全年目标完成度： 105.34%（目标值/实际值）
Q2目标完成度：128.52%（目标值/实际值）
</t>
  </si>
  <si>
    <t>9.37
（考虑到业务自然增长43%，base值设定为13.6）</t>
  </si>
  <si>
    <t>次</t>
  </si>
  <si>
    <t>在考虑了业务收入增长带来的投诉自然增长的情况下
1分：较base维稳
2分：较base环比降幅10%
3分：较base环比降幅20%
4分：较base环比降幅30%
5分：较base环比降幅40%或以上
（25年收入增幅主要来自复购策略，当前万人投诉量的分母为体验营加微数，并不会因为复购策略而出现明显波动。但学员的人均消费金额和购课数量增加，学习时间也同步拉长，由此会产生投诉量的自然增长。24年全年万人投诉量实际9.54，考虑到25年收入目标需要对比24年增长43%，相应base值应该考虑到收入增加引起的投诉自然增长，设定为9.54*143%=13.6）</t>
  </si>
  <si>
    <t>8.64
（0101-1130。截止1207数据当前为8.71，但由于分母按月统计，12月时间太短偏差较大）</t>
  </si>
  <si>
    <t>在和喜马主站服务团队切割的背景下，快速完成喜播服务团队重建，并推动异动问题持续改善：
服务团队上，及时补足人力缺口，并通过AI 辅助工具（AI 小结、智能填单等）不断提升人效，实现接起率90%+，保证切割期间平稳过渡。问题解决上，恢复数据监控看板并识别催退款等异动问题，开展根因分析，通过服务流程优化、人力配置优化和产品能力改造，及时灭火避免问题长期化。
最终，实现万人投诉次数8.64，较base值环比降低32%。
（12月预计会进一步降低，达成在4.3左右）</t>
  </si>
  <si>
    <t>内部运营 -- 30%
（内部运营指标
背景：AI（代表新生产力和基础设施）时代下，对喜播新职业培训业务模式的重塑。
目标（定性）：实现AI赋能的个性化的新职业技能、知识及情绪满足服务。
切入点：从有声培训发展到AI驱动的全媒介内容生产者的产教融合服务。）</t>
  </si>
  <si>
    <t>跨科收入占比（体现意图： 课程教研）</t>
  </si>
  <si>
    <r>
      <rPr>
        <color rgb="FF000000"/>
        <rFont val="Microsoft YaHei"/>
        <sz val="9"/>
      </rPr>
      <t xml:space="preserve">基于个性化教学服务的需求，通过洞察用户需求层次（从兴趣到兼职副业、从有声到短视频到心理教育等），拆解有声书主播、短视频内容创作者（编导、短视频剪辑、营销等岗位）能力需求，细化知识点的面向对象和知识点标签，形成培训不只是千篇一律的知识而是个性化需求的满足，形成快速课程和服务的建设实现从有声主播到AI短视频到家庭教育类的课程及服务扩展。实现非有声线（AI产品线）训练营收入占整体训练营收入，同时净利润为正;</t>
    </r>
    <r>
      <t xml:space="preserve">
</t>
    </r>
    <r>
      <rPr>
        <b/>
        <color rgb="FF000000"/>
        <rFont val="Microsoft YaHei"/>
        <sz val="9"/>
      </rPr>
      <t xml:space="preserve">统计逻辑： </t>
    </r>
    <r>
      <rPr>
        <color rgb="FF000000"/>
        <rFont val="Microsoft YaHei"/>
        <sz val="9"/>
      </rPr>
      <t xml:space="preserve">年初至当前累计</t>
    </r>
  </si>
  <si>
    <t>12.00%（4012万）</t>
  </si>
  <si>
    <t>全年
1分：[6%,8%) 
2分：[8%,10%)
3分：[10%,12%)
4分：[12%,15%)
5分：15%及更多
H1目标
10%（3808万）</t>
  </si>
  <si>
    <t>7.5%（3700万）</t>
  </si>
  <si>
    <t>16%(2,234万）</t>
  </si>
  <si>
    <t>12%(1500万）</t>
  </si>
  <si>
    <t>18%（1亿）</t>
  </si>
  <si>
    <t>&gt;0分：低于6%（2960万）
&gt;1分：[6%,8%) 
&gt;2分：[8%,10%)
&gt;3分：[10%,12%)
&gt;4分：[12%,15%)
&gt;5分：15%及更多</t>
  </si>
  <si>
    <t>非有声线训练营收入【11200】万
其中
AI短视频：2100万；
AI写作: 9100万</t>
  </si>
  <si>
    <t>通过不断深度挖掘用户需求，快速迭代卖点和课程内容，抓住短片故事，短剧封口，并持续打磨sop，培养直播间主播拿到结果</t>
  </si>
  <si>
    <t>BI-王水</t>
  </si>
  <si>
    <t>助教人均产出
</t>
  </si>
  <si>
    <r>
      <rPr>
        <color rgb="FF000000"/>
        <rFont val="Microsoft YaHei"/>
        <sz val="9"/>
      </rPr>
      <t xml:space="preserve">通过引入AI能力，从AI助教（就业指导）切入，重新梳理面向个性化服务的助教业务流，从：新用户基础能力测评--学习目标制定--个性服务，通过基于AITDA+模型基础下兼职员工SOP及形成让AI Agent上岗，不断强化学习用户数据和业务流程，提供就业指导形成个性化学习和服务计划。</t>
    </r>
    <r>
      <t xml:space="preserve">
</t>
    </r>
    <r>
      <rPr>
        <color rgb="FF000000"/>
        <rFont val="Microsoft YaHei"/>
        <sz val="9"/>
      </rPr>
      <t xml:space="preserve">方式</t>
    </r>
    <r>
      <t xml:space="preserve">
</t>
    </r>
    <r>
      <rPr>
        <color rgb="FF000000"/>
        <rFont val="Microsoft YaHei"/>
        <sz val="9"/>
      </rPr>
      <t xml:space="preserve"> 1. “用户学习体验地图 ” + “助教服务 SOP”  的梳理与重构 结合 AITDA 模型 =&gt;  喜播体验营用户服务 SOP 升级版本</t>
    </r>
    <r>
      <t xml:space="preserve">
</t>
    </r>
    <r>
      <rPr>
        <color rgb="FF000000"/>
        <rFont val="Microsoft YaHei"/>
        <sz val="9"/>
      </rPr>
      <t xml:space="preserve"> 2. 在 SOP 中拆解环节与节点，结合 AI 能力，确定哪些是 AI 助教为主， 哪些是 人工为主</t>
    </r>
    <r>
      <t xml:space="preserve">
</t>
    </r>
    <r>
      <rPr>
        <color rgb="FF000000"/>
        <rFont val="Microsoft YaHei"/>
        <sz val="9"/>
      </rPr>
      <t xml:space="preserve"> 3. 从获客 -&gt;  学习与服务 -&gt; 转化 -&gt; 正价课 服务全链路过程中不断收集用户数据，识别用户画像和意图</t>
    </r>
    <r>
      <t xml:space="preserve">
</t>
    </r>
    <r>
      <rPr>
        <color rgb="FF000000"/>
        <rFont val="Microsoft YaHei"/>
        <sz val="9"/>
      </rPr>
      <t xml:space="preserve"> 4. 设计 AI 节点的自学习机制</t>
    </r>
    <r>
      <t xml:space="preserve">
</t>
    </r>
    <r>
      <rPr>
        <color rgb="FF000000"/>
        <rFont val="Microsoft YaHei"/>
        <sz val="9"/>
      </rPr>
      <t xml:space="preserve"> 5. 结合 2 与 3、4 ， 让 AI 助教在挖需、督学、点评、处理异议环节做到基于用户画像和意图的个性化服务 与 话术的不断迭代</t>
    </r>
    <r>
      <t xml:space="preserve">
</t>
    </r>
    <r>
      <t xml:space="preserve">
</t>
    </r>
    <r>
      <rPr>
        <color rgb="FF000000"/>
        <rFont val="Microsoft YaHei"/>
        <sz val="9"/>
      </rPr>
      <t xml:space="preserve">通过 统一 最佳实践SOP +  AI 助教执行并自我迭代SOP中 AI 的环节  +  统一多IP人设”实时直播“  降低销售环节的过度承诺等问题，提升付费客户的满意度，最终实现：助教人均产出提升</t>
    </r>
    <r>
      <t xml:space="preserve">
</t>
    </r>
    <r>
      <t xml:space="preserve">
</t>
    </r>
    <r>
      <rPr>
        <b/>
        <color rgb="FF000000"/>
        <rFont val="Microsoft YaHei"/>
        <sz val="9"/>
      </rPr>
      <t xml:space="preserve">计算公式：</t>
    </r>
    <r>
      <t xml:space="preserve">
</t>
    </r>
    <r>
      <rPr>
        <color rgb="FF000000"/>
        <rFont val="Microsoft YaHei"/>
        <sz val="9"/>
      </rPr>
      <t xml:space="preserve">（1）(GMV-退费)/带班人数</t>
    </r>
    <r>
      <t xml:space="preserve">
</t>
    </r>
    <r>
      <rPr>
        <color rgb="FF000000"/>
        <rFont val="Microsoft YaHei"/>
        <sz val="9"/>
      </rPr>
      <t xml:space="preserve">（2）指标计算： 按照营期维度聚合计算，每月数据计算结营时间落在当月的所有营期</t>
    </r>
    <r>
      <t xml:space="preserve">
</t>
    </r>
    <r>
      <t xml:space="preserve">
</t>
    </r>
    <r>
      <rPr>
        <color rgb="FF000000"/>
        <rFont val="Microsoft YaHei"/>
        <sz val="9"/>
      </rPr>
      <t xml:space="preserve">注： </t>
    </r>
    <r>
      <t xml:space="preserve">
</t>
    </r>
    <r>
      <rPr>
        <color rgb="FF000000"/>
        <rFont val="Microsoft YaHei"/>
        <sz val="9"/>
      </rPr>
      <t xml:space="preserve">① 现有绩效规则：体验营结营21天内退费都会归属到助教；退费数据会有一定的延后性，当前数据指标需要一段时间（e.g. 2个月）后才能稳定</t>
    </r>
    <r>
      <t xml:space="preserve">
</t>
    </r>
    <r>
      <rPr>
        <color rgb="FF000000"/>
        <rFont val="Microsoft YaHei"/>
        <sz val="9"/>
      </rPr>
      <t xml:space="preserve">② 助教： 带过体验营的老师</t>
    </r>
  </si>
  <si>
    <t>年末最后一个月（12月）的值</t>
  </si>
  <si>
    <t>BI</t>
  </si>
  <si>
    <r>
      <rPr>
        <rFont val="Microsoft YaHei"/>
        <sz val="9"/>
      </rPr>
      <t xml:space="preserve">15%</t>
    </r>
    <r>
      <t xml:space="preserve">
</t>
    </r>
  </si>
  <si>
    <t>1-6月：54177
（受退费影响，后续数值会降低）
1-4月：54987</t>
  </si>
  <si>
    <t>1-6月： 涨幅 23%（受退费影响，后续数值会降低）
1-4月： 涨幅 21%</t>
  </si>
  <si>
    <t>全年</t>
  </si>
  <si>
    <t>全年逐步攀升趋势，且12月份达到：
1分： 52711以内（小于）
2分： 52711及以上
3分： 57503及以上
4分： 62295及以上
5分： 64691及以上</t>
  </si>
  <si>
    <t>1-6月数值计算目标完成度：
94% （实际值/全年3分目标值）
【受退费影响，后续数值会降低】</t>
  </si>
  <si>
    <t>元</t>
  </si>
  <si>
    <r>
      <rPr>
        <color rgb="FFFE0300"/>
        <rFont val="Microsoft YaHei"/>
        <sz val="9"/>
      </rPr>
      <t xml:space="preserve">待定（3.69，根据9月份数据预估</t>
    </r>
    <r>
      <rPr>
        <color rgb="FF000000"/>
        <rFont val="Microsoft YaHei"/>
        <sz val="9"/>
      </rPr>
      <t xml:space="preserve">）</t>
    </r>
    <r>
      <t xml:space="preserve">
</t>
    </r>
    <r>
      <t xml:space="preserve">
</t>
    </r>
    <r>
      <rPr>
        <color rgb="FF000000"/>
        <rFont val="Microsoft YaHei"/>
        <sz val="9"/>
      </rPr>
      <t xml:space="preserve">全年到11月底的加权平均： 55998；</t>
    </r>
    <r>
      <t xml:space="preserve">
</t>
    </r>
    <r>
      <t xml:space="preserve">
</t>
    </r>
    <r>
      <rPr>
        <b/>
        <color rgb="FF000000"/>
        <rFont val="Microsoft YaHei"/>
        <sz val="8"/>
      </rPr>
      <t xml:space="preserve">11月份数值： 77529</t>
    </r>
    <r>
      <t xml:space="preserve">
</t>
    </r>
    <r>
      <t xml:space="preserve">
</t>
    </r>
    <r>
      <rPr>
        <color rgb="FF000000"/>
        <rFont val="Microsoft YaHei"/>
        <sz val="9"/>
      </rPr>
      <t xml:space="preserve">9月份数值： 60810</t>
    </r>
    <r>
      <t xml:space="preserve">
</t>
    </r>
    <r>
      <t xml:space="preserve">
</t>
    </r>
    <r>
      <rPr>
        <color rgb="FF000000"/>
        <rFont val="Microsoft YaHei"/>
        <sz val="9"/>
      </rPr>
      <t xml:space="preserve">（指标受学员退费影响，退费金额在营期结束后2个月以上才相对稳定）</t>
    </r>
  </si>
  <si>
    <t>通过提升AI销售能力，使20%的流量达到L4自动AI沟通转化。80%达到L2级别高效辅助人，实现整体效率提升</t>
  </si>
  <si>
    <t>需要补充实现路径的定性描述</t>
  </si>
  <si>
    <t>学习与成长 5%</t>
  </si>
  <si>
    <t>基于业务模型及Agent化要求的关键岗位（项目负责人、子项目负责人、项目组核心成员）人才胜任度</t>
  </si>
  <si>
    <t>该组织期末关键岗位胜任度合格人数/该组织关键岗位总人数*100%
（随经营复盘会回顾，胜任度绿灯/白灯人员为胜任度合格）</t>
  </si>
  <si>
    <r>
      <rPr>
        <rFont val="Microsoft YaHei"/>
        <sz val="9"/>
      </rPr>
      <t xml:space="preserve">5%</t>
    </r>
    <r>
      <t xml:space="preserve">
</t>
    </r>
  </si>
  <si>
    <t>100%，计5分；
90%&lt;=x&lt;100%, 计4分; 
80%&lt;=x&lt;90%, 计3分;
70%&lt;=x&lt;80%, 计2分;
60%&lt;=x&lt;70%, 计1分;</t>
  </si>
  <si>
    <t>从职业教育到产教融合</t>
  </si>
  <si>
    <t>P端：教研的敏捷、高质量怎么体现（跨科收入占比指标中体现意图，通过以需定产，提升跨科收入）</t>
  </si>
  <si>
    <t>体现从因到果的逻辑</t>
  </si>
  <si>
    <t/>
  </si>
  <si>
    <t>维度权重</t>
  </si>
  <si>
    <t>指标权重</t>
  </si>
  <si>
    <t>目标</t>
  </si>
  <si>
    <t>负责人</t>
  </si>
  <si>
    <t>备注</t>
  </si>
  <si>
    <t>是否确认</t>
  </si>
  <si>
    <t>6亿</t>
  </si>
  <si>
    <r>
      <rPr>
        <color rgb="FF000000"/>
        <rFont val="Microsoft YaHei"/>
        <sz val="9"/>
      </rPr>
      <t xml:space="preserve">第一责任：</t>
    </r>
    <r>
      <rPr>
        <color rgb="FF0563C1"/>
      </rPr>
      <t xml:space="preserve"> @马长久</t>
    </r>
  </si>
  <si>
    <t>5000万</t>
  </si>
  <si>
    <t>百万元投诉率</t>
  </si>
  <si>
    <r>
      <rPr>
        <b/>
        <color rgb="FF000000"/>
        <rFont val="Microsoft YaHei"/>
        <sz val="9"/>
      </rPr>
      <t xml:space="preserve">指标定义：</t>
    </r>
    <r>
      <rPr>
        <color rgb="FF000000"/>
        <rFont val="Microsoft YaHei"/>
        <sz val="9"/>
      </rPr>
      <t xml:space="preserve">每 100 万元现金流收入中，有投诉记录的订单收入金额。用于量化第一曲线的收入健康水平，数值越低健康水平越高。</t>
    </r>
  </si>
  <si>
    <r>
      <rPr>
        <b/>
        <color rgb="FF000000"/>
        <rFont val="Microsoft YaHei"/>
        <sz val="9"/>
      </rPr>
      <t xml:space="preserve">计算公式：</t>
    </r>
    <r>
      <t xml:space="preserve">
</t>
    </r>
    <r>
      <rPr>
        <color rgb="FF000000"/>
        <rFont val="Microsoft YaHei"/>
        <sz val="9"/>
      </rPr>
      <t xml:space="preserve">(</t>
    </r>
    <r>
      <rPr>
        <b/>
        <color rgb="FF000000"/>
        <rFont val="Microsoft YaHei"/>
        <sz val="9"/>
      </rPr>
      <t xml:space="preserve">外部</t>
    </r>
    <r>
      <rPr>
        <color rgb="FF000000"/>
        <rFont val="Microsoft YaHei"/>
        <sz val="9"/>
      </rPr>
      <t xml:space="preserve">投诉订单收入金额 / 现金流收入金额）*</t>
    </r>
    <r>
      <rPr>
        <b/>
        <color rgb="FF000000"/>
        <rFont val="Microsoft YaHei"/>
        <sz val="9"/>
      </rPr>
      <t xml:space="preserve">60</t>
    </r>
    <r>
      <rPr>
        <color rgb="FF000000"/>
        <rFont val="Microsoft YaHei"/>
        <sz val="9"/>
      </rPr>
      <t xml:space="preserve">%+(</t>
    </r>
    <r>
      <rPr>
        <b/>
        <color rgb="FF000000"/>
        <rFont val="Microsoft YaHei"/>
        <sz val="9"/>
      </rPr>
      <t xml:space="preserve">内部</t>
    </r>
    <r>
      <rPr>
        <color rgb="FF000000"/>
        <rFont val="Microsoft YaHei"/>
        <sz val="9"/>
      </rPr>
      <t xml:space="preserve">投诉订单收入金额 / 现金流收入金额）*</t>
    </r>
    <r>
      <rPr>
        <b/>
        <color rgb="FF000000"/>
        <rFont val="Microsoft YaHei"/>
        <sz val="9"/>
      </rPr>
      <t xml:space="preserve">40</t>
    </r>
    <r>
      <rPr>
        <color rgb="FF000000"/>
        <rFont val="Microsoft YaHei"/>
        <sz val="9"/>
      </rPr>
      <t xml:space="preserve">%</t>
    </r>
  </si>
  <si>
    <t>相较于2025年Q4降低15%</t>
  </si>
  <si>
    <r>
      <rPr>
        <color rgb="FF000000"/>
        <rFont val="Microsoft YaHei"/>
        <sz val="9"/>
      </rPr>
      <t xml:space="preserve">第一责任：</t>
    </r>
    <r>
      <rPr>
        <color rgb="FF0563C1"/>
      </rPr>
      <t xml:space="preserve"> @杜康杰(杜康杰Annie)</t>
    </r>
  </si>
  <si>
    <r>
      <rPr>
        <b/>
        <color rgb="FF000000"/>
        <rFont val="Microsoft YaHei"/>
        <sz val="9"/>
      </rPr>
      <t xml:space="preserve">设定逻辑：</t>
    </r>
    <r>
      <rPr>
        <color rgb="FF000000"/>
        <rFont val="Microsoft YaHei"/>
        <sz val="9"/>
      </rPr>
      <t xml:space="preserve"> 量化“当前现金流中，有多少是带有风险/问题的金额”。一旦该指标飙升，意味着现金流“毒量”加大，随时可能因退费导致资金链断裂。 传统投诉率计算=“投诉量/投诉人数”具有欺骗性。例如，用户会因为一次退费投诉而退掉剩余的所有课程，投诉量不能反映这种涟漪影响，难以真正衡量出不健康问题带来的业务损失。</t>
    </r>
    <r>
      <t xml:space="preserve">
</t>
    </r>
    <r>
      <rPr>
        <b/>
        <color rgb="FF000000"/>
        <rFont val="Microsoft YaHei"/>
        <sz val="9"/>
      </rPr>
      <t xml:space="preserve">投诉定义：</t>
    </r>
    <r>
      <rPr>
        <color rgb="FF000000"/>
        <rFont val="Microsoft YaHei"/>
        <sz val="9"/>
      </rPr>
      <t xml:space="preserve">通过内部（企微、NPS/满意度、客服）和外部（315、黑猫、消费宝）渠道，表达对喜播宣传/课程/服务/软硬件不满并提及退款/投诉/威胁外部投诉的反馈。</t>
    </r>
  </si>
  <si>
    <t>学员合格率</t>
  </si>
  <si>
    <t>结课学员通过每个sku的考试合格的比例
考试标准：根据第三方专家+公司专业评委会确定的标准难度和题库</t>
  </si>
  <si>
    <t>60分以上的学员/ 应该参考学员总数（即：应考学员数）</t>
  </si>
  <si>
    <t>75%（前提80% 参加考试率）</t>
  </si>
  <si>
    <r>
      <rPr>
        <rFont val="Microsoft YaHei"/>
        <sz val="9"/>
      </rPr>
      <t xml:space="preserve">第一责任：</t>
    </r>
    <r>
      <rPr>
        <color rgb="FF0563C1"/>
      </rPr>
      <t xml:space="preserve"> @苏秦</t>
    </r>
  </si>
  <si>
    <t>设定一个**“参考率”红线**。例如：要求参考率大于 80%的前提下，60 分合格率大于75%。否则，只考核合格率毫无意义。</t>
  </si>
  <si>
    <t>内部运营</t>
  </si>
  <si>
    <t>新课程成功上线数</t>
  </si>
  <si>
    <t>达到公司共识的成功SKU 数量。即：在UE模型健康下，一年产生多少个卓越/优秀数量。</t>
  </si>
  <si>
    <t>3个150万收入小目标，一个300-500万中等项目</t>
  </si>
  <si>
    <r>
      <rPr>
        <color rgb="FF000000"/>
        <rFont val="Microsoft YaHei"/>
        <sz val="9"/>
      </rPr>
      <t xml:space="preserve">第一责任：</t>
    </r>
    <r>
      <rPr>
        <color rgb="FF0563C1"/>
      </rPr>
      <t xml:space="preserve"> @苏秦</t>
    </r>
  </si>
  <si>
    <t>兼职人效</t>
  </si>
  <si>
    <t>助教人均带来退后 GMV+班主任人均带来退后 GMV+点评官人均服务退后GMV  提升</t>
  </si>
  <si>
    <t>月度平均
计算公式：
 （（助教人数*助教人均 GMV）+ （班主任人数*班主任人均带来 GMV）） + （点评官人数* 点评官人均服务 GMV））/ （班主任人数+助教人数+点评官人数）
</t>
  </si>
  <si>
    <t>相较于 2025 年提升15%</t>
  </si>
  <si>
    <r>
      <rPr>
        <color rgb="FF000000"/>
        <rFont val="Microsoft YaHei"/>
        <sz val="9"/>
      </rPr>
      <t xml:space="preserve">第一责任：</t>
    </r>
    <r>
      <rPr>
        <color rgb="FF0563C1"/>
      </rPr>
      <t xml:space="preserve"> @姚涣(Aaron姚涣)</t>
    </r>
  </si>
  <si>
    <t>学习与成长</t>
  </si>
  <si>
    <t>AI Native组织关键岗位AI化构建完成率</t>
  </si>
  <si>
    <t>识别公司必须2026年完成AI Native化的岗位，完成这些必要岗位 AI 重构并经公司与HR审核通过的岗位比例</t>
  </si>
  <si>
    <t>完成岗位数/所有必须AI native化岗位数</t>
  </si>
  <si>
    <r>
      <rPr>
        <color rgb="FF0563C1"/>
      </rPr>
      <t xml:space="preserve"> @王俊(Johnny 王俊)</t>
    </r>
  </si>
  <si>
    <t>会员数量</t>
  </si>
  <si>
    <t>转化为月付费或者年付费的付费数量</t>
  </si>
  <si>
    <t>5 万</t>
  </si>
  <si>
    <t>续费率</t>
  </si>
  <si>
    <t>第一个月结束后续费的用户数/ 第一个月的付费用户数</t>
  </si>
  <si>
    <t>月末</t>
  </si>
  <si>
    <t>会员第7天留存、第 21 天留存</t>
  </si>
  <si>
    <t>每天会员在第 7 天、第 21 天在 APP 上还有行为的用户/ 每期新增会员数</t>
  </si>
  <si>
    <t>90%，60%</t>
  </si>
  <si>
    <t>关键战役</t>
  </si>
  <si>
    <t>战役名称</t>
  </si>
  <si>
    <t>挂钩BSC指标</t>
  </si>
  <si>
    <t>第一责任人</t>
  </si>
  <si>
    <t>必胜结果（O）</t>
  </si>
  <si>
    <t>关键路径（KR）</t>
  </si>
  <si>
    <t>资源盘点</t>
  </si>
  <si>
    <t>依赖与协同</t>
  </si>
  <si>
    <t>第一曲线生存之战
“延安保卫战“</t>
  </si>
  <si>
    <r>
      <rPr>
        <color rgb="FF0563C1"/>
      </rPr>
      <t xml:space="preserve"> @杜康杰(杜康杰Annie)</t>
    </r>
  </si>
  <si>
    <t>百万元投诉率降低15%</t>
  </si>
  <si>
    <r>
      <rPr>
        <b/>
        <sz val="10"/>
      </rPr>
      <t xml:space="preserve">KR1：建立全链路特殊关怀用户识别和拦截机制。</t>
    </r>
    <r>
      <rPr>
        <sz val="10"/>
      </rPr>
      <t xml:space="preserve">在整体识别准确率95%的基础上，面向全部成交用户建立起100%“用户知情同意证据链”（含风险提示确认书/支付确认环节），特殊关怀用户投诉外溢率降低80%（不高于 8件/月）。</t>
    </r>
  </si>
  <si>
    <r>
      <rPr>
        <color rgb="FF0563C1"/>
      </rPr>
      <t xml:space="preserve"> @马长久</t>
    </r>
    <r>
      <t xml:space="preserve">
</t>
    </r>
    <r>
      <rPr>
        <color rgb="FF0563C1"/>
      </rPr>
      <t xml:space="preserve"> @姚涣(Aaron姚涣)</t>
    </r>
  </si>
  <si>
    <r>
      <rPr>
        <b/>
        <sz val="10"/>
      </rPr>
      <t xml:space="preserve">KR2：做好质检红线（不管就会“死”的违规）的严格管控，红线违规率降低80%。</t>
    </r>
    <r>
      <rPr>
        <sz val="10"/>
      </rPr>
      <t xml:space="preserve">建立可动态调整的质检分层管理能力，严格管控红线，其他风险问题结合业务和监管意见逐渐调整管控策略，做好风险与利润的平衡。</t>
    </r>
  </si>
  <si>
    <r>
      <rPr>
        <b/>
        <sz val="10"/>
      </rPr>
      <t xml:space="preserve">KR3：持续推进风险防外溢专项，外部百万元投诉率下降 20%。</t>
    </r>
    <r>
      <rPr>
        <sz val="10"/>
      </rPr>
      <t xml:space="preserve">针对每一单由客服到外部投诉的案件进行深入分析，找到能够减少风险外溢的可能机会点；确保内部客服专员、重大投诉经理、监管单位三重角色退费规则拉齐，保障群诉、机构维权等案件的平稳处置。</t>
    </r>
  </si>
  <si>
    <r>
      <rPr>
        <b/>
        <sz val="10"/>
      </rPr>
      <t xml:space="preserve">KR4：维护长期稳固的监管关系，26年累计行政处罚金额＜2万元</t>
    </r>
    <r>
      <rPr>
        <sz val="10"/>
      </rPr>
      <t xml:space="preserve">。将监管从“管理者”转变为企业健康发展的“成长伙伴”。针对315监管敏感期引入监管研判应对，做好日常拜访与规则拉齐，出现处罚风险时能及时应对消解。</t>
    </r>
  </si>
  <si>
    <r>
      <rPr>
        <sz val="10"/>
      </rPr>
      <t xml:space="preserve">国家级媒体负面舆情为 0 </t>
    </r>
    <r>
      <rPr>
        <color rgb="FF0563C1"/>
      </rPr>
      <t xml:space="preserve"> @马长久</t>
    </r>
    <r>
      <rPr>
        <sz val="10"/>
      </rPr>
      <t xml:space="preserve">定</t>
    </r>
  </si>
  <si>
    <t>KR1：启动 “媒体关系专项预算”，与至少 3家国家级/核心商业媒体建立正式沟通渠道，确保在出现负面舆情时，有权威通道进行澄清或降温。</t>
  </si>
  <si>
    <r>
      <rPr>
        <color rgb="FF0563C1"/>
      </rPr>
      <t xml:space="preserve"> @马长久</t>
    </r>
  </si>
  <si>
    <t>KR2：每周产生200篇正面素材，用户网络正面口碑建设</t>
  </si>
  <si>
    <t>健康利润之战
“挺进大别山战役“</t>
  </si>
  <si>
    <t>利润</t>
  </si>
  <si>
    <t>净利润率提升至10%+
（【David 建议】创作者培训净利润率 15%+）</t>
  </si>
  <si>
    <t>KR1： 恢复 “高转化安全素材模板”，迭代话术，让销售能说敢说，确保4月起投放，账户能够快速重启。</t>
  </si>
  <si>
    <t>KR2：完成A+平台卖点撤销后的有效转化测试。0元转化率不低于 2.5% </t>
  </si>
  <si>
    <t>KR3：复购“精准爆破”。恢复复购节奏，在最可能付费的节点（如课程中期、有积极作品产出时），由最优秀班主任进行“一对一”升单推荐，目标将订单复购率提升20%</t>
  </si>
  <si>
    <t>KR4：AI课程考虑新方向，增强价值感</t>
  </si>
  <si>
    <t>【David 建议】兴趣培训净利润率 10%+</t>
  </si>
  <si>
    <r>
      <rPr>
        <color rgb="FF0563C1"/>
      </rPr>
      <t xml:space="preserve"> @苏秦</t>
    </r>
  </si>
  <si>
    <t>【David 建议】个性化健康训练营净利润 15%+</t>
  </si>
  <si>
    <t>产品高地攻坚战
“星火燎原”战役</t>
  </si>
  <si>
    <r>
      <rPr>
        <b/>
        <sz val="10"/>
      </rPr>
      <t xml:space="preserve">成功上线1+3项目</t>
    </r>
    <r>
      <t xml:space="preserve">
</t>
    </r>
    <r>
      <rPr>
        <sz val="10"/>
      </rPr>
      <t xml:space="preserve">1一个月gmv300-500万中等项目</t>
    </r>
    <r>
      <t xml:space="preserve">
</t>
    </r>
    <r>
      <rPr>
        <sz val="10"/>
      </rPr>
      <t xml:space="preserve">3个月gmv的潜力项目</t>
    </r>
  </si>
  <si>
    <t>KR1:每月至少测试1个新项目，复盘数据后确定醒目可行性</t>
  </si>
  <si>
    <t>KR2:在保证利润和UE合格情况下，全年至少达到：月GMV150万以上项目3个，月GMV500万以上项目1个</t>
  </si>
  <si>
    <t>KR3:新项目课程开发工作80%由硅基员工完成</t>
  </si>
  <si>
    <t>降本增效战
硅基员工“登陆日”</t>
  </si>
  <si>
    <t>姚涣</t>
  </si>
  <si>
    <t>兼职人效提升15%</t>
  </si>
  <si>
    <t>KR1： 助教后 40% 被 AI 助教代替</t>
  </si>
  <si>
    <t>KR2： 班主任后 30% 被 AI 班主任代替</t>
  </si>
  <si>
    <t>KR3： 实现 AI 点评官替代尾部 30% 点评官 ，让腰部以上点评官+班主任 结合 AI 点评官能服务更多用户</t>
  </si>
  <si>
    <t>AI Native 组织关键岗位重塑战
“换芯行动“</t>
  </si>
  <si>
    <t>关键岗位AI化构建</t>
  </si>
  <si>
    <t>王俊</t>
  </si>
  <si>
    <t>AI Native组织关键岗位AI化构建完成率100%</t>
  </si>
  <si>
    <t>KR1：【存量·造血】重构核心业务流，在守住“体验红线”的前提下，实现关键岗位边际交付成本降低 40%</t>
  </si>
  <si>
    <t>KR2：【人才·换芯】清除“腰部梗阻”，确保关键岗位 100% 由具备“AI 重构力”的将才实控</t>
  </si>
  <si>
    <t>KR3：【潜力·升级】打通“双曲线”资源通道，实现 20 名以上新标准下的高潜人才</t>
  </si>
  <si>
    <t>SP → BP → BSC → 关键战役 → OKR → KPI</t>
  </si>
  <si>
    <t>(想)    (定)     (衡)          (聚)          (做)       (守)</t>
  </si>
  <si>
    <t>1. 战役名称</t>
  </si>
  <si>
    <t>战役代号</t>
  </si>
  <si>
    <t>必须具体、有感召力。不能叫“提升服务”，要叫“服务铁壁行动”。</t>
  </si>
  <si>
    <t>2. 挂钩指标</t>
  </si>
  <si>
    <t>BSC 映射</t>
  </si>
  <si>
    <t>除了 BSC，其他都是扯淡。 明确指向 BSC 中的哪一项或哪几项指标（如：净利润、投诉率）。</t>
  </si>
  <si>
    <t>3. 第一责任人</t>
  </si>
  <si>
    <t>指挥官</t>
  </si>
  <si>
    <t>只能有一个人。 谁把头别在裤腰带上负责？</t>
  </si>
  <si>
    <t>4. 必胜结果</t>
  </si>
  <si>
    <t>Lagging Indicators</t>
  </si>
  <si>
    <t>定量的终局状态。 只有数字，没有形容词。年底做到多少算赢？</t>
  </si>
  <si>
    <t>5. 关键路径</t>
  </si>
  <si>
    <t>Leading Indicators</t>
  </si>
  <si>
    <t>分季度的里程碑。 Q1/Q2/Q3/Q4 分别要拿下什么山头？必须是可交付的成果（如：系统上线、SOP发布）。</t>
  </si>
  <si>
    <t>6. 资源盘点</t>
  </si>
  <si>
    <t>粮草与兵马</t>
  </si>
  <si>
    <t>钱（预算）和人（HC）。 需要多少推广费？需要多少 AI 技术人员？（需与财务/HR表一致）。</t>
  </si>
  <si>
    <t>7. 依赖与协同</t>
  </si>
  <si>
    <t>互锁承诺</t>
  </si>
  <si>
    <t>谁不配合你就会死？ 需要产品部开发什么？需要销售部承诺什么？（对方必须签字确认）。</t>
  </si>
  <si>
    <t>部门</t>
  </si>
  <si>
    <t>姓名</t>
  </si>
  <si>
    <t>角色 / 别称</t>
  </si>
  <si>
    <t>分管领域 / 职责关键词</t>
  </si>
  <si>
    <t>岗位职责简述（≤ 80 字）</t>
  </si>
  <si>
    <t>总裁办</t>
  </si>
  <si>
    <t>蒋德铭</t>
  </si>
  <si>
    <t>CEO / 大卫 / 315专项组长</t>
  </si>
  <si>
    <t>公司战略、外部合作、可持续发展</t>
  </si>
  <si>
    <t>对公司全盘经营结果负责，拟定中长期战略，构建关键外部合作，驱动高质量、可持续增长。</t>
  </si>
  <si>
    <t>AI技术中心</t>
  </si>
  <si>
    <t>产研第一责任人＋第二曲线负责人</t>
  </si>
  <si>
    <t>AI质检、兼职人效、大健康 0→1</t>
  </si>
  <si>
    <t>统筹产研规划与 AI 落地，领导技术迭代；同时从 0 到 1 打造第二曲线大健康新业务。</t>
  </si>
  <si>
    <t>后台职能部</t>
  </si>
  <si>
    <t>后台职能第一责任人</t>
  </si>
  <si>
    <t>AI-Native 组织、HR、行政、IT、采购</t>
  </si>
  <si>
    <t>统管人财事等后台职能，推进关键岗位 AI 化，确保组织高效、低成本、AI-Native 转型。</t>
  </si>
  <si>
    <t>教研中心</t>
  </si>
  <si>
    <t>苏秦</t>
  </si>
  <si>
    <t>教研第一责任人</t>
  </si>
  <si>
    <t>学员合格率、新课程上线</t>
  </si>
  <si>
    <t>带领团队完成课程设计、开发、迭代，对教学效果与学员满意度负全责。</t>
  </si>
  <si>
    <r>
      <rPr>
        <color rgb="FF0563C1"/>
      </rPr>
      <t xml:space="preserve"> @苏秦</t>
    </r>
    <r>
      <rPr>
        <color rgb="FF0563C1"/>
      </rPr>
      <t xml:space="preserve"> @王俊(Johnny 王俊)</t>
    </r>
    <r>
      <rPr>
        <rFont val="default"/>
        <sz val="10"/>
      </rPr>
      <t xml:space="preserve">完善一下 苏老师目前 -1</t>
    </r>
  </si>
  <si>
    <t>教研教务部</t>
  </si>
  <si>
    <t>王聪</t>
  </si>
  <si>
    <t>写作小组代组长</t>
  </si>
  <si>
    <t>测试AI课程研发、未来新项目课程开发</t>
  </si>
  <si>
    <t>测试AI完成80%课程开发工作的第一个课程研发小组</t>
  </si>
  <si>
    <t>寇瑀恬</t>
  </si>
  <si>
    <t>有声组组长</t>
  </si>
  <si>
    <t>有声组课程开发</t>
  </si>
  <si>
    <t>对有声项目的课程迭代、开发的效果负责</t>
  </si>
  <si>
    <t>杜帅锋</t>
  </si>
  <si>
    <t>视频组组长</t>
  </si>
  <si>
    <t>视频组课程开发、二次转化</t>
  </si>
  <si>
    <t>对交付课程质量、大咖课程交付质量负责</t>
  </si>
  <si>
    <t>杜丽荣</t>
  </si>
  <si>
    <t>师资成功组长</t>
  </si>
  <si>
    <t>大咖招募、兼职陪跑官、点评官招募</t>
  </si>
  <si>
    <t>对招募的成本、质量、学员对老师的满意度负责</t>
  </si>
  <si>
    <t>第一曲线事业部</t>
  </si>
  <si>
    <t>马长久</t>
  </si>
  <si>
    <t>第一曲线第一责任人</t>
  </si>
  <si>
    <t>收入、训练营、硬件、话术合规</t>
  </si>
  <si>
    <t>对获客、营收、利润、交付、满意度等全链路负责，定策略、带团队、促协同，达成业绩目标。</t>
  </si>
  <si>
    <t>学员成功部</t>
  </si>
  <si>
    <t>杨蓉蓉</t>
  </si>
  <si>
    <t>投放负责人</t>
  </si>
  <si>
    <t>投放 ROI、AI 投放全流程</t>
  </si>
  <si>
    <t>对投放 ROI 与增长负责，用 AI 优化策略、控成本、扩高质量流量。</t>
  </si>
  <si>
    <t>李萍</t>
  </si>
  <si>
    <t>前端负责人</t>
  </si>
  <si>
    <t>前端销售、拓客转化</t>
  </si>
  <si>
    <t>对教育前端销售业绩负全责，深耕客户需求，提升转化率与市场份额。</t>
  </si>
  <si>
    <t>谢媛</t>
  </si>
  <si>
    <t>后端负责人</t>
  </si>
  <si>
    <t>学员留存、续报、口碑</t>
  </si>
  <si>
    <t>对后端留存、续费、口碑负全责，优化服务体验，驱动复购与品牌增值。</t>
  </si>
  <si>
    <t>佀曼曼</t>
  </si>
  <si>
    <t>交付负责人</t>
  </si>
  <si>
    <t>学员就业、作品数量与质量</t>
  </si>
  <si>
    <t>对学员就业机会及毕业作品数量、质量负全责，确保教学结果可验证。</t>
  </si>
  <si>
    <t>市场品牌部</t>
  </si>
  <si>
    <t>胡云悠</t>
  </si>
  <si>
    <t>品牌 / 大师班负责人（PR 空缺）</t>
  </si>
  <si>
    <t>品牌战略、舆情、线下大师课、有声之夜</t>
  </si>
  <si>
    <t>统筹品牌资产与舆情管控，打造品牌壁垒；同时负责线下大师课及有声之夜整体运营。</t>
  </si>
  <si>
    <t>张雪利</t>
  </si>
  <si>
    <t>菲姐 / 品牌负责人</t>
  </si>
  <si>
    <t>品牌建设、舆情管控、品牌引流</t>
  </si>
  <si>
    <t>负责全域品牌推广与口碑管理，为业务引流并维护公司长期形象。</t>
  </si>
  <si>
    <t>客户体验部</t>
  </si>
  <si>
    <t>杜康杰</t>
  </si>
  <si>
    <t>客户满意＋政府关系第一责任人</t>
  </si>
  <si>
    <t>百万元投诉率、大黑拦截、监管沟通、315 副组长</t>
  </si>
  <si>
    <t>统筹四道防线，平衡风险与增长；维护监管关系，防控重大舆情与极端事件。</t>
  </si>
  <si>
    <t>王伊</t>
  </si>
  <si>
    <t>315 专项对接人＋智能客服</t>
  </si>
  <si>
    <t>315 客诉、合规调研、智能客服</t>
  </si>
  <si>
    <t>负责 315 专项 PMO、跨部门同步与复盘；推动智能客服升级，提升人效与风险拦截率。</t>
  </si>
  <si>
    <t>张凯</t>
  </si>
  <si>
    <t>特殊关怀（大黑）项目负责人</t>
  </si>
  <si>
    <t>大黑模型、投诉率预警、风险数据分析</t>
  </si>
  <si>
    <t>优化大黑识别与预警看板，输出风险洞察，联动产研闭环投诉问题，夯实数据基建。</t>
  </si>
  <si>
    <t>张义鹏</t>
  </si>
  <si>
    <t>质检管控＋外部投诉处置</t>
  </si>
  <si>
    <t>AI 质检、外投全链路、品牌口碑</t>
  </si>
  <si>
    <t>迭代质检规则与准确率，处置市监/黑猫等外投，搭建分级防外溢机制，守护品牌口碑。</t>
  </si>
  <si>
    <t>张靖恺</t>
  </si>
  <si>
    <t>客服组长</t>
  </si>
  <si>
    <t>客服团队、接起率、退费时效、315 人力调配</t>
  </si>
  <si>
    <t>管理客服团队保障高接起率，推进退费智能化；315 期间统一话术并灵活调配人力。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</si>
</sst>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9"/>
      <color rgb="FF000000"/>
      <name val="Microsoft YaHei"/>
    </font>
    <font>
      <sz val="9"/>
      <color rgb="FFFE0300"/>
    </font>
    <font>
      <b/>
      <sz val="10"/>
      <name val="Microsoft YaHei"/>
    </font>
    <font>
      <sz val="9"/>
      <name val="Microsoft YaHei"/>
    </font>
    <font>
      <sz val="9"/>
      <color rgb="FFFE0300"/>
      <name val="Microsoft YaHei"/>
    </font>
    <font>
      <b/>
      <sz val="9"/>
      <name val="Microsoft YaHei"/>
    </font>
    <font>
      <b/>
      <sz val="10"/>
      <name val="default"/>
    </font>
    <font>
      <b/>
      <sz val="9"/>
      <color rgb="FF000000"/>
      <name val="Microsoft YaHei"/>
    </font>
    <font>
      <b/>
      <sz val="9"/>
      <color rgb="FFFE0300"/>
      <name val="Microsoft YaHei"/>
    </font>
    <font>
      <b/>
      <sz val="10"/>
    </font>
    <font>
      <b/>
      <sz val="10"/>
      <color rgb="FFFE0300"/>
    </font>
    <font>
      <sz val="10"/>
      <color rgb="FF000000"/>
    </font>
    <font>
      <b/>
      <sz val="10"/>
      <color rgb="FFEA3324"/>
    </font>
    <font>
      <sz val="12"/>
    </font>
    <font>
      <sz val="10"/>
      <color rgb="FFFE0300"/>
    </font>
    <font>
      <sz val="12"/>
      <color rgb="FFFE0300"/>
    </font>
    <font>
      <b/>
      <i/>
      <sz val="10"/>
    </font>
    <font>
      <sz val="10"/>
      <name val="Arial"/>
    </font>
    <font>
      <b/>
      <sz val="10"/>
      <color rgb="FF000000"/>
    </font>
    <font>
      <b/>
      <sz val="10"/>
      <color rgb="FFC10002"/>
    </font>
    <font>
      <sz val="10"/>
      <color rgb="FF000000"/>
      <name val="default"/>
    </font>
    <font>
      <sz val="9"/>
      <color rgb="FF000000"/>
    </font>
    <font>
      <sz val="10"/>
      <color rgb="FFC10002"/>
    </font>
    <font>
      <sz val="10"/>
      <name val="default"/>
    </font>
    <font>
      <b/>
      <sz val="10"/>
      <color rgb="FFC10002"/>
      <name val="default"/>
    </font>
    <font>
      <b/>
      <sz val="10"/>
    </font>
    <font>
      <b/>
      <sz val="10"/>
      <name val="Microsoft YaHei"/>
    </font>
    <font>
      <b/>
      <sz val="10"/>
      <name val="Microsoft YaHei"/>
    </font>
    <font>
      <b/>
      <sz val="10"/>
      <name val="Microsoft YaHei"/>
    </font>
    <font>
      <b/>
      <sz val="10"/>
      <name val="Microsoft YaHei"/>
    </font>
    <font>
      <b/>
      <sz val="10"/>
      <name val="Microsoft YaHei"/>
    </font>
    <font>
      <sz val="9"/>
      <name val="Microsoft YaHei"/>
    </font>
    <font>
      <sz val="9"/>
      <name val="Microsoft YaHei"/>
    </font>
    <font>
      <sz val="9"/>
      <color rgb="FF000000"/>
      <name val="Microsoft YaHei"/>
    </font>
    <font>
      <sz val="9"/>
      <name val="Microsoft YaHei"/>
    </font>
    <font>
      <sz val="10"/>
    </font>
    <font>
      <sz val="9"/>
      <name val="Microsoft YaHei"/>
    </font>
    <font>
      <sz val="9"/>
      <name val="Microsoft YaHei"/>
    </font>
    <font>
      <sz val="9"/>
      <color rgb="FF000000"/>
      <name val="Microsoft YaHei"/>
    </font>
    <font>
      <sz val="9"/>
      <name val="Microsoft YaHei"/>
    </font>
    <font>
      <sz val="10"/>
    </font>
    <font>
      <sz val="9"/>
      <color rgb="FFFE0300"/>
    </font>
    <font>
      <sz val="9"/>
      <color rgb="FFFE0300"/>
      <name val="Microsoft YaHei"/>
    </font>
    <font>
      <sz val="9"/>
      <color rgb="FFFE0300"/>
      <name val="Microsoft YaHei"/>
    </font>
    <font>
      <sz val="9"/>
      <color rgb="FFFE0300"/>
    </font>
    <font>
      <sz val="9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name val="Microsoft YaHei"/>
    </font>
    <font>
      <sz val="9"/>
      <name val="Microsoft YaHei"/>
    </font>
    <font>
      <b/>
      <sz val="9"/>
      <color rgb="FF000000"/>
      <name val="Microsoft YaHei"/>
    </font>
    <font>
      <sz val="9"/>
      <color rgb="FF000000"/>
      <name val="Microsoft YaHei"/>
    </font>
    <font>
      <sz val="9"/>
      <color rgb="FFFE0300"/>
      <name val="Microsoft YaHei"/>
    </font>
    <font>
      <sz val="9"/>
      <color rgb="FFFE0300"/>
      <name val="Microsoft YaHei"/>
    </font>
    <font>
      <sz val="9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name val="Microsoft YaHei"/>
    </font>
    <font>
      <sz val="9"/>
      <name val="Microsoft YaHei"/>
    </font>
    <font>
      <sz val="9"/>
      <name val="Microsoft YaHei"/>
    </font>
    <font>
      <sz val="9"/>
      <color rgb="FFFE0300"/>
      <name val="Microsoft YaHei"/>
    </font>
    <font>
      <sz val="9"/>
      <name val="Microsoft YaHei"/>
    </font>
    <font>
      <sz val="9"/>
      <color rgb="FFFE0300"/>
      <name val="Microsoft YaHei"/>
    </font>
    <font>
      <sz val="9"/>
      <name val="Microsoft YaHei"/>
    </font>
    <font>
      <sz val="9"/>
      <name val="Microsoft YaHei"/>
    </font>
    <font>
      <sz val="9"/>
      <name val="Microsoft YaHei"/>
    </font>
    <font>
      <sz val="9"/>
      <name val="Microsoft YaHei"/>
    </font>
    <font>
      <sz val="9"/>
      <name val="Microsoft YaHei"/>
    </font>
    <font>
      <sz val="9"/>
      <color rgb="FF000000"/>
      <name val="Microsoft YaHei"/>
    </font>
    <font>
      <sz val="9"/>
      <color rgb="FF000000"/>
      <name val="Microsoft YaHei"/>
    </font>
    <font>
      <sz val="9"/>
      <name val="Microsoft YaHei"/>
    </font>
    <font>
      <sz val="9"/>
      <color rgb="FF000000"/>
      <name val="Microsoft YaHei"/>
    </font>
    <font>
      <b/>
      <sz val="10"/>
      <color rgb="FFC10002"/>
    </font>
    <font>
      <sz val="10"/>
    </font>
    <font>
      <b/>
      <sz val="10"/>
      <color rgb="FFC10002"/>
    </font>
    <font>
      <sz val="10"/>
    </font>
    <font>
      <b/>
      <sz val="10"/>
      <color rgb="FFC10002"/>
    </font>
    <font>
      <sz val="10"/>
    </font>
    <font>
      <b/>
      <sz val="10"/>
      <color rgb="FFC10002"/>
    </font>
    <font>
      <b/>
      <sz val="10"/>
      <color rgb="FFC10002"/>
    </font>
  </fonts>
  <fills count="9">
    <fill>
      <patternFill patternType="none"/>
    </fill>
    <fill>
      <patternFill patternType="gray125"/>
    </fill>
    <fill>
      <patternFill patternType="solid">
        <fgColor rgb="FFFAD8EA"/>
      </patternFill>
    </fill>
    <fill>
      <patternFill patternType="solid">
        <fgColor rgb="FFFCC102"/>
      </patternFill>
    </fill>
    <fill>
      <patternFill patternType="solid">
        <fgColor rgb="FFFEFF00"/>
      </patternFill>
    </fill>
    <fill>
      <patternFill patternType="solid">
        <fgColor rgb="FFDFEBF6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A9D08D"/>
      </patternFill>
    </fill>
  </fills>
  <borders count="27">
    <border>
      <left/>
      <right/>
      <top/>
      <bottom/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dotted">
        <color rgb="FFD8D8D8"/>
      </left>
      <right/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/>
      <diagonal/>
    </border>
    <border>
      <left/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ashed">
        <color rgb="FFD8D8D8"/>
      </left>
      <right style="dashed">
        <color rgb="FFD8D8D8"/>
      </right>
      <top style="dashed">
        <color rgb="FFD8D8D8"/>
      </top>
      <bottom style="dashed">
        <color rgb="FFD8D8D8"/>
      </bottom>
      <diagonal/>
    </border>
    <border>
      <left style="dotted">
        <color rgb="FFE8E6E7"/>
      </left>
      <right style="dotted">
        <color rgb="FFE8E6E7"/>
      </right>
      <top style="dotted">
        <color rgb="FFE8E6E7"/>
      </top>
      <bottom/>
      <diagonal/>
    </border>
    <border>
      <left style="dotted">
        <color rgb="FFD8D8D8"/>
      </left>
      <right style="dotted">
        <color rgb="FFD8D8D8"/>
      </right>
      <top/>
      <bottom/>
      <diagonal/>
    </border>
    <border>
      <left/>
      <right/>
      <top style="dotted">
        <color rgb="FFD8D8D8"/>
      </top>
      <bottom style="dotted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tted">
        <color rgb="FFE8E6E7"/>
      </left>
      <right style="dotted">
        <color rgb="FFE8E6E7"/>
      </right>
      <top/>
      <bottom style="dotted">
        <color rgb="FFE8E6E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left" vertical="center" wrapText="1"/>
    </xf>
    <xf numFmtId="0" fontId="4" fillId="2" borderId="2" xfId="0" applyFont="1" applyFill="1" applyBorder="1" applyProtection="1">
      <alignment horizontal="center" vertical="center"/>
    </xf>
    <xf numFmtId="0" fontId="6" fillId="0" borderId="0" xfId="0" applyFont="1">
      <alignment horizontal="left" vertical="top" wrapText="1"/>
    </xf>
    <xf numFmtId="0" fontId="7" fillId="3" borderId="0" xfId="0" applyFont="1" applyFill="1">
      <alignment horizontal="center" vertical="center"/>
    </xf>
    <xf numFmtId="0" fontId="8" fillId="4" borderId="1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10" fontId="9" fillId="0" borderId="1" xfId="0" applyNumberFormat="1" applyFont="1" applyBorder="1" applyProtection="1">
      <alignment horizontal="center" vertical="center" wrapText="1"/>
    </xf>
    <xf numFmtId="9" fontId="8" fillId="0" borderId="1" xfId="0" applyNumberFormat="1" applyFont="1" applyBorder="1" applyProtection="1">
      <alignment horizontal="center" vertical="center"/>
    </xf>
    <xf numFmtId="3" fontId="8" fillId="0" borderId="1" xfId="0" applyNumberFormat="1" applyFont="1" applyBorder="1" applyProtection="1">
      <alignment horizontal="center" vertical="center"/>
    </xf>
    <xf numFmtId="0" fontId="8" fillId="4" borderId="1" xfId="0" applyFont="1" applyFill="1" applyBorder="1" applyProtection="1">
      <alignment horizontal="center" vertical="center" wrapText="1"/>
    </xf>
    <xf numFmtId="164" fontId="8" fillId="0" borderId="1" xfId="0" applyNumberFormat="1" applyFont="1" applyBorder="1" applyProtection="1">
      <alignment horizontal="center" vertical="center"/>
    </xf>
    <xf numFmtId="3" fontId="8" fillId="0" borderId="1" xfId="0" applyNumberFormat="1" applyFont="1" applyBorder="1" applyProtection="1">
      <alignment horizontal="center" vertical="center" wrapText="1"/>
    </xf>
    <xf numFmtId="9" fontId="8" fillId="0" borderId="1" xfId="0" applyNumberFormat="1" applyFont="1" applyBorder="1" applyProtection="1">
      <alignment horizontal="center" vertical="center" wrapText="1"/>
    </xf>
    <xf numFmtId="9" fontId="8" fillId="4" borderId="1" xfId="0" applyNumberFormat="1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9" fontId="4" fillId="0" borderId="3" xfId="0" applyNumberFormat="1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 wrapText="1"/>
    </xf>
    <xf numFmtId="9" fontId="8" fillId="0" borderId="4" xfId="0" applyNumberFormat="1" applyFont="1" applyBorder="1" applyProtection="1">
      <alignment horizontal="center" vertical="center"/>
    </xf>
    <xf numFmtId="0" fontId="8" fillId="5" borderId="1" xfId="0" applyFont="1" applyFill="1" applyBorder="1" applyProtection="1">
      <alignment horizontal="center" vertical="center" wrapText="1"/>
    </xf>
    <xf numFmtId="9" fontId="5" fillId="0" borderId="1" xfId="0" applyNumberFormat="1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8" fillId="6" borderId="1" xfId="0" applyFont="1" applyFill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8" fillId="0" borderId="6" xfId="0" applyFont="1" applyBorder="1" applyProtection="1">
      <alignment horizontal="center" vertical="center"/>
    </xf>
    <xf numFmtId="3" fontId="8" fillId="6" borderId="1" xfId="0" applyNumberFormat="1" applyFont="1" applyFill="1" applyBorder="1" applyProtection="1">
      <alignment horizontal="center" vertical="center"/>
    </xf>
    <xf numFmtId="0" fontId="7" fillId="3" borderId="0" xfId="0" applyFont="1" applyFill="1">
      <alignment horizontal="center" vertical="center" wrapText="1"/>
    </xf>
    <xf numFmtId="0" fontId="10" fillId="0" borderId="7" xfId="0" applyFont="1" applyBorder="1" applyProtection="1">
      <alignment horizontal="center" vertical="center"/>
    </xf>
    <xf numFmtId="0" fontId="11" fillId="7" borderId="8" xfId="0" applyFont="1" applyFill="1" applyBorder="1" applyProtection="1">
      <alignment horizontal="center" vertical="center"/>
    </xf>
    <xf numFmtId="0" fontId="12" fillId="0" borderId="9" xfId="0" applyFont="1" applyBorder="1" applyProtection="1">
      <alignment horizontal="center" vertical="center" wrapText="1"/>
    </xf>
    <xf numFmtId="10" fontId="8" fillId="0" borderId="1" xfId="0" applyNumberFormat="1" applyFont="1" applyBorder="1" applyProtection="1">
      <alignment horizontal="center" vertical="center" wrapText="1"/>
    </xf>
    <xf numFmtId="4" fontId="8" fillId="6" borderId="1" xfId="0" applyNumberFormat="1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 wrapText="1"/>
    </xf>
    <xf numFmtId="0" fontId="13" fillId="0" borderId="8" xfId="0" applyFont="1" applyBorder="1" applyProtection="1">
      <alignment horizontal="center" vertical="center"/>
    </xf>
    <xf numFmtId="9" fontId="9" fillId="0" borderId="1" xfId="0" applyNumberFormat="1" applyFont="1" applyBorder="1" applyProtection="1">
      <alignment horizontal="center" vertical="center"/>
    </xf>
    <xf numFmtId="3" fontId="9" fillId="0" borderId="1" xfId="0" applyNumberFormat="1" applyFont="1" applyBorder="1" applyProtection="1">
      <alignment horizontal="center" vertical="center"/>
    </xf>
    <xf numFmtId="3" fontId="9" fillId="0" borderId="1" xfId="0" applyNumberFormat="1" applyFont="1" applyBorder="1" applyProtection="1">
      <alignment horizontal="center" vertical="center" wrapText="1"/>
    </xf>
    <xf numFmtId="9" fontId="9" fillId="0" borderId="4" xfId="0" applyNumberFormat="1" applyFont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9" fontId="9" fillId="0" borderId="1" xfId="0" applyNumberFormat="1" applyFont="1" applyBorder="1" applyProtection="1">
      <alignment horizontal="center" vertical="center" wrapText="1"/>
    </xf>
    <xf numFmtId="4" fontId="9" fillId="0" borderId="1" xfId="0" applyNumberFormat="1" applyFont="1" applyBorder="1" applyProtection="1">
      <alignment horizontal="center" vertical="center" wrapText="1"/>
    </xf>
    <xf numFmtId="4" fontId="9" fillId="0" borderId="1" xfId="0" applyNumberFormat="1" applyFont="1" applyBorder="1" applyProtection="1">
      <alignment horizontal="center" vertical="center"/>
    </xf>
    <xf numFmtId="9" fontId="9" fillId="0" borderId="1" xfId="0" applyNumberFormat="1" applyFont="1" applyBorder="1" applyProtection="1">
      <alignment horizontal="center" vertical="center"/>
    </xf>
    <xf numFmtId="0" fontId="9" fillId="0" borderId="4" xfId="0" applyFont="1" applyBorder="1" applyProtection="1">
      <alignment horizontal="center" vertical="center" wrapText="1"/>
    </xf>
    <xf numFmtId="0" fontId="9" fillId="0" borderId="10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6" xfId="0" applyFont="1" applyBorder="1" applyProtection="1">
      <alignment horizontal="center" vertical="center" wrapText="1"/>
    </xf>
    <xf numFmtId="0" fontId="4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5" fillId="5" borderId="0" xfId="0" applyFont="1" applyFill="1">
      <alignment horizontal="center" vertical="center"/>
    </xf>
    <xf numFmtId="0" fontId="15" fillId="5" borderId="0" xfId="0" applyFont="1" applyFill="1">
      <alignment horizontal="center" vertical="center" wrapText="1"/>
    </xf>
    <xf numFmtId="0" fontId="14" fillId="5" borderId="0" xfId="0" applyFont="1" applyFill="1">
      <alignment horizontal="center" vertical="center"/>
    </xf>
    <xf numFmtId="0" fontId="14" fillId="5" borderId="0" xfId="0" applyFont="1" applyFill="1">
      <alignment horizontal="center" vertical="center"/>
    </xf>
    <xf numFmtId="0" fontId="14" fillId="3" borderId="0" xfId="0" applyFont="1" applyFill="1">
      <alignment horizontal="center" vertical="center"/>
    </xf>
    <xf numFmtId="0" fontId="16" fillId="8" borderId="2" xfId="0" applyFont="1" applyFill="1" applyBorder="1" applyProtection="1">
      <alignment horizontal="center" vertical="center"/>
    </xf>
    <xf numFmtId="0" fontId="17" fillId="0" borderId="0" xfId="0" applyFont="1">
      <alignment horizontal="center" vertical="center"/>
    </xf>
    <xf numFmtId="0" fontId="14" fillId="5" borderId="0" xfId="0" applyFont="1" applyFill="1">
      <alignment horizontal="center" vertical="center" wrapText="1"/>
    </xf>
    <xf numFmtId="0" fontId="16" fillId="8" borderId="11" xfId="0" applyFont="1" applyFill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0" fontId="18" fillId="0" borderId="2" xfId="0" applyFont="1" applyBorder="1" applyProtection="1">
      <alignment horizontal="center" vertical="center"/>
    </xf>
    <xf numFmtId="0" fontId="18" fillId="0" borderId="12" xfId="0" applyFont="1" applyBorder="1" applyProtection="1">
      <alignment horizontal="center" vertical="center"/>
    </xf>
    <xf numFmtId="0" fontId="18" fillId="0" borderId="13" xfId="0" applyFont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18" fillId="0" borderId="14" xfId="0" applyFont="1" applyBorder="1" applyProtection="1">
      <alignment horizontal="center" vertical="center"/>
    </xf>
    <xf numFmtId="0" fontId="18" fillId="0" borderId="15" xfId="0" applyFont="1" applyBorder="1" applyProtection="1">
      <alignment horizontal="center" vertical="center"/>
    </xf>
    <xf numFmtId="0" fontId="6" fillId="0" borderId="0" xfId="0" applyFont="1">
      <alignment horizontal="center" vertical="center" wrapText="1"/>
    </xf>
    <xf numFmtId="0" fontId="19" fillId="0" borderId="0" xfId="0" applyFont="1">
      <alignment horizontal="center" vertical="center"/>
    </xf>
    <xf numFmtId="0" fontId="6" fillId="0" borderId="0" xfId="0" applyFont="1">
      <alignment horizontal="center" vertical="center"/>
    </xf>
    <xf numFmtId="0" fontId="20" fillId="0" borderId="16" xfId="0" applyFont="1" applyBorder="1" applyProtection="1">
      <alignment horizontal="center" vertical="center"/>
    </xf>
    <xf numFmtId="0" fontId="20" fillId="0" borderId="2" xfId="0" applyFont="1" applyBorder="1" applyProtection="1">
      <alignment horizontal="center" vertical="center"/>
    </xf>
    <xf numFmtId="0" fontId="20" fillId="0" borderId="17" xfId="0" applyFont="1" applyBorder="1" applyProtection="1">
      <alignment horizontal="center" vertical="center"/>
    </xf>
    <xf numFmtId="0" fontId="19" fillId="0" borderId="18" xfId="0" applyFont="1" applyBorder="1" applyProtection="1">
      <alignment horizontal="center" vertical="center"/>
    </xf>
    <xf numFmtId="0" fontId="9" fillId="0" borderId="7" xfId="0" applyFont="1" applyBorder="1" applyProtection="1">
      <alignment horizontal="center" vertical="center"/>
    </xf>
    <xf numFmtId="0" fontId="18" fillId="0" borderId="16" xfId="0" applyFont="1" applyBorder="1" applyProtection="1">
      <alignment horizontal="center" vertical="center"/>
    </xf>
    <xf numFmtId="0" fontId="18" fillId="0" borderId="17" xfId="0" applyFont="1" applyBorder="1" applyProtection="1">
      <alignment horizontal="center" vertical="center"/>
    </xf>
    <xf numFmtId="0" fontId="16" fillId="0" borderId="9" xfId="0" applyFont="1" applyBorder="1" applyProtection="1">
      <alignment horizontal="center" vertical="center" wrapText="1"/>
    </xf>
    <xf numFmtId="0" fontId="18" fillId="0" borderId="19" xfId="0" applyFont="1" applyBorder="1" applyProtection="1">
      <alignment horizontal="center" vertical="center" wrapText="1"/>
    </xf>
    <xf numFmtId="0" fontId="18" fillId="0" borderId="19" xfId="0" applyFont="1" applyBorder="1" applyProtection="1">
      <alignment horizontal="center" vertical="center"/>
    </xf>
    <xf numFmtId="0" fontId="14" fillId="0" borderId="0" xfId="0" applyFont="1">
      <alignment horizontal="center" vertical="center"/>
    </xf>
    <xf numFmtId="0" fontId="4" fillId="0" borderId="0" xfId="0" applyFont="1">
      <alignment horizontal="center" vertical="center" wrapText="1"/>
    </xf>
    <xf numFmtId="0" fontId="21" fillId="0" borderId="0" xfId="0" applyFont="1">
      <alignment horizontal="center" vertical="center"/>
    </xf>
    <xf numFmtId="0" fontId="4" fillId="0" borderId="0" xfId="0" applyFont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>
      <alignment horizontal="center" vertical="center"/>
    </xf>
    <xf numFmtId="0" fontId="4" fillId="0" borderId="0" xfId="0" applyFont="1">
      <alignment vertical="center" wrapText="1"/>
    </xf>
    <xf numFmtId="0" fontId="5" fillId="0" borderId="20" xfId="0" applyFont="1" applyBorder="1" applyProtection="1">
      <alignment horizontal="left" vertical="center" wrapText="1"/>
    </xf>
    <xf numFmtId="9" fontId="5" fillId="0" borderId="20" xfId="0" applyNumberFormat="1" applyFont="1" applyBorder="1" applyProtection="1">
      <alignment horizontal="center" vertical="center"/>
    </xf>
    <xf numFmtId="0" fontId="4" fillId="0" borderId="21" xfId="0" applyFont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11" xfId="0" applyFont="1" applyBorder="1" applyProtection="1">
      <alignment vertical="center" wrapText="1"/>
    </xf>
    <xf numFmtId="0" fontId="4" fillId="0" borderId="2" xfId="0" applyFont="1" applyBorder="1" applyProtection="1">
      <alignment horizontal="center" vertical="center"/>
    </xf>
    <xf numFmtId="0" fontId="22" fillId="0" borderId="22" xfId="0" applyFont="1" applyBorder="1" applyProtection="1">
      <alignment horizontal="center" vertical="bottom"/>
    </xf>
    <xf numFmtId="0" fontId="16" fillId="0" borderId="0" xfId="0" applyFont="1">
      <alignment horizontal="center" vertical="center"/>
    </xf>
    <xf numFmtId="0" fontId="4" fillId="0" borderId="14" xfId="0" applyFont="1" applyBorder="1" applyProtection="1">
      <alignment vertical="center"/>
    </xf>
    <xf numFmtId="0" fontId="22" fillId="0" borderId="23" xfId="0" applyFont="1" applyBorder="1" applyProtection="1">
      <alignment vertical="bottom"/>
    </xf>
    <xf numFmtId="0" fontId="4" fillId="0" borderId="2" xfId="0" applyFont="1" applyBorder="1" applyProtection="1">
      <alignment vertical="center" wrapText="1"/>
    </xf>
    <xf numFmtId="0" fontId="8" fillId="0" borderId="20" xfId="0" applyFont="1" applyBorder="1" applyProtection="1">
      <alignment vertical="center"/>
    </xf>
    <xf numFmtId="0" fontId="16" fillId="0" borderId="0" xfId="0" applyFont="1">
      <alignment horizontal="center" vertical="center" wrapText="1"/>
    </xf>
    <xf numFmtId="0" fontId="23" fillId="0" borderId="0" xfId="0" applyFont="1">
      <alignment horizontal="center" vertical="center"/>
    </xf>
    <xf numFmtId="0" fontId="16" fillId="0" borderId="0" xfId="0" applyFont="1">
      <alignment horizontal="center" vertical="center" wrapText="1"/>
    </xf>
    <xf numFmtId="0" fontId="16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5" fillId="0" borderId="20" xfId="0" applyFont="1" applyBorder="1" applyProtection="1">
      <alignment horizontal="left" vertical="center" wrapText="1"/>
    </xf>
    <xf numFmtId="0" fontId="14" fillId="0" borderId="21" xfId="0" applyFont="1" applyBorder="1" applyProtection="1">
      <alignment horizontal="center" vertical="center" wrapText="1"/>
    </xf>
    <xf numFmtId="0" fontId="14" fillId="0" borderId="20" xfId="0" applyFont="1" applyBorder="1" applyProtection="1">
      <alignment horizontal="center" vertical="center" wrapText="1"/>
    </xf>
    <xf numFmtId="0" fontId="24" fillId="0" borderId="11" xfId="0" applyFont="1" applyBorder="1" applyProtection="1">
      <alignment horizontal="center" vertical="center"/>
    </xf>
    <xf numFmtId="0" fontId="4" fillId="0" borderId="20" xfId="0" applyFont="1" applyBorder="1" applyProtection="1">
      <alignment vertical="center"/>
    </xf>
    <xf numFmtId="0" fontId="24" fillId="0" borderId="15" xfId="0" applyFont="1" applyBorder="1" applyProtection="1">
      <alignment horizontal="center" vertical="center"/>
    </xf>
    <xf numFmtId="0" fontId="4" fillId="0" borderId="11" xfId="0" applyFont="1" applyBorder="1" applyProtection="1">
      <alignment horizontal="center" vertical="center"/>
    </xf>
    <xf numFmtId="0" fontId="23" fillId="5" borderId="20" xfId="0" applyFont="1" applyFill="1" applyBorder="1" applyProtection="1">
      <alignment horizontal="center" vertical="center"/>
    </xf>
    <xf numFmtId="0" fontId="23" fillId="5" borderId="20" xfId="0" applyFont="1" applyFill="1" applyBorder="1" applyProtection="1">
      <alignment horizontal="center" vertical="center" wrapText="1"/>
    </xf>
    <xf numFmtId="0" fontId="4" fillId="0" borderId="15" xfId="0" applyFont="1" applyBorder="1" applyProtection="1">
      <alignment vertical="center"/>
    </xf>
    <xf numFmtId="0" fontId="12" fillId="0" borderId="20" xfId="0" applyFont="1" applyBorder="1" applyProtection="1">
      <alignment horizontal="center" vertical="center"/>
    </xf>
    <xf numFmtId="0" fontId="5" fillId="0" borderId="20" xfId="0" applyFont="1" applyBorder="1" applyProtection="1">
      <alignment horizontal="center" vertical="center" wrapText="1"/>
    </xf>
    <xf numFmtId="0" fontId="5" fillId="0" borderId="20" xfId="0" applyFont="1" applyBorder="1" applyProtection="1">
      <alignment horizontal="center" vertical="center"/>
    </xf>
    <xf numFmtId="0" fontId="16" fillId="0" borderId="20" xfId="0" applyFont="1" applyBorder="1" applyProtection="1">
      <alignment horizontal="center" vertical="center"/>
    </xf>
    <xf numFmtId="0" fontId="4" fillId="0" borderId="13" xfId="0" applyFont="1" applyBorder="1" applyProtection="1">
      <alignment vertical="center"/>
    </xf>
    <xf numFmtId="0" fontId="4" fillId="0" borderId="13" xfId="0" applyFont="1" applyBorder="1" applyProtection="1">
      <alignment vertical="center" wrapText="1"/>
    </xf>
    <xf numFmtId="0" fontId="5" fillId="0" borderId="20" xfId="0" applyFont="1" applyBorder="1" applyProtection="1">
      <alignment horizontal="center" vertical="center" wrapText="1"/>
    </xf>
    <xf numFmtId="0" fontId="12" fillId="0" borderId="20" xfId="0" applyFont="1" applyBorder="1" applyProtection="1">
      <alignment horizontal="center" vertical="center" wrapText="1"/>
    </xf>
    <xf numFmtId="0" fontId="5" fillId="0" borderId="20" xfId="0" applyFont="1" applyBorder="1" applyProtection="1">
      <alignment horizontal="center" vertical="center" wrapText="1"/>
    </xf>
    <xf numFmtId="0" fontId="8" fillId="0" borderId="24" xfId="0" applyFont="1" applyBorder="1" applyProtection="1">
      <alignment vertical="center"/>
    </xf>
    <xf numFmtId="0" fontId="16" fillId="0" borderId="20" xfId="0" applyFont="1" applyBorder="1" applyProtection="1">
      <alignment horizontal="center" vertical="center" wrapText="1"/>
    </xf>
    <xf numFmtId="0" fontId="5" fillId="0" borderId="20" xfId="0" applyFont="1" applyBorder="1" applyProtection="1">
      <alignment horizontal="center" vertical="center" wrapText="1"/>
    </xf>
    <xf numFmtId="0" fontId="5" fillId="0" borderId="20" xfId="0" applyFont="1" applyBorder="1" applyProtection="1">
      <alignment horizontal="left" vertical="center" wrapText="1"/>
    </xf>
    <xf numFmtId="0" fontId="4" fillId="0" borderId="15" xfId="0" applyFont="1" applyBorder="1" applyProtection="1">
      <alignment horizontal="center" vertical="center"/>
    </xf>
    <xf numFmtId="0" fontId="4" fillId="0" borderId="13" xfId="0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4" fillId="0" borderId="2" xfId="0" applyFont="1" applyBorder="1" applyProtection="1">
      <alignment vertical="center" wrapText="1"/>
    </xf>
    <xf numFmtId="0" fontId="24" fillId="0" borderId="13" xfId="0" applyFont="1" applyBorder="1" applyProtection="1">
      <alignment horizontal="center" vertical="center"/>
    </xf>
    <xf numFmtId="0" fontId="16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>
      <alignment vertical="center" wrapText="1"/>
    </xf>
    <xf numFmtId="0" fontId="14" fillId="0" borderId="0" xfId="0" applyFont="1">
      <alignment vertical="center"/>
    </xf>
    <xf numFmtId="0" fontId="4" fillId="0" borderId="25" xfId="0" applyFont="1" applyBorder="1" applyProtection="1">
      <alignment vertical="center"/>
    </xf>
    <xf numFmtId="9" fontId="5" fillId="0" borderId="20" xfId="0" applyNumberFormat="1" applyFont="1" applyBorder="1" applyProtection="1">
      <alignment horizontal="center" vertical="center" wrapText="1"/>
    </xf>
    <xf numFmtId="9" fontId="26" fillId="0" borderId="20" xfId="0" applyNumberFormat="1" applyFont="1" applyBorder="1" applyProtection="1">
      <alignment horizontal="center" vertical="center" wrapText="1"/>
    </xf>
    <xf numFmtId="9" fontId="5" fillId="0" borderId="20" xfId="0" applyNumberFormat="1" applyFont="1" applyBorder="1" applyProtection="1">
      <alignment horizontal="center" vertical="center" wrapText="1"/>
    </xf>
    <xf numFmtId="9" fontId="5" fillId="0" borderId="20" xfId="0" applyNumberFormat="1" applyFont="1" applyBorder="1" applyProtection="1">
      <alignment horizontal="center" vertical="center" wrapText="1"/>
    </xf>
    <xf numFmtId="0" fontId="4" fillId="0" borderId="26" xfId="0" applyFont="1" applyBorder="1" applyProtection="1">
      <alignment vertical="center"/>
    </xf>
    <xf numFmtId="0" fontId="27" fillId="0" borderId="15" xfId="0" applyFont="1" applyBorder="1" applyProtection="1">
      <alignment vertical="center"/>
    </xf>
    <xf numFmtId="0" fontId="4" fillId="3" borderId="2" xfId="0" applyFont="1" applyFill="1" applyBorder="1" applyProtection="1">
      <alignment horizontal="center" vertical="center"/>
    </xf>
    <xf numFmtId="0" fontId="4" fillId="3" borderId="2" xfId="0" applyFont="1" applyFill="1" applyBorder="1" applyProtection="1">
      <alignment vertical="center"/>
    </xf>
    <xf numFmtId="0" fontId="18" fillId="0" borderId="0" xfId="0" applyFont="1">
      <alignment vertical="center"/>
    </xf>
    <xf numFmtId="0" fontId="24" fillId="0" borderId="11" xfId="0" applyFont="1" applyBorder="1" applyProtection="1">
      <alignment horizontal="center" vertical="center" wrapText="1"/>
    </xf>
    <xf numFmtId="0" fontId="24" fillId="0" borderId="15" xfId="0" applyFont="1" applyBorder="1" applyProtection="1">
      <alignment horizontal="center" vertical="center" wrapText="1"/>
    </xf>
    <xf numFmtId="0" fontId="24" fillId="0" borderId="13" xfId="0" applyFont="1" applyBorder="1" applyProtection="1">
      <alignment horizontal="center" vertical="center" wrapText="1"/>
    </xf>
    <xf numFmtId="0" fontId="25" fillId="0" borderId="0" xfId="0" applyFont="1">
      <alignment vertical="center"/>
    </xf>
    <xf numFmtId="0" fontId="8" fillId="0" borderId="24" xfId="0" applyFont="1" applyBorder="1" applyProtection="1">
      <alignment horizontal="center" vertical="center"/>
    </xf>
    <xf numFmtId="0" fontId="4" fillId="0" borderId="20" xfId="0" applyFont="1" applyBorder="1" applyProtection="1">
      <alignment vertical="center"/>
    </xf>
    <xf numFmtId="0" fontId="4" fillId="0" borderId="20" xfId="0" applyFont="1" applyBorder="1" applyProtection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>
      <alignment vertical="center" wrapText="1"/>
    </xf>
    <xf numFmtId="0" fontId="28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>
      <alignment vertical="center" wrapText="1"/>
    </xf>
    <xf numFmtId="0" fontId="11" fillId="0" borderId="0" xfId="0" applyFont="1">
      <alignment vertical="center"/>
    </xf>
    <xf numFmtId="0" fontId="28" fillId="0" borderId="0" xfId="0" applyFont="1">
      <alignment vertical="center"/>
    </xf>
    <xf numFmtId="0" fontId="28" fillId="0" borderId="0" xfId="0" applyFont="1">
      <alignment vertical="center" wrapText="1"/>
    </xf>
    <xf numFmtId="0" fontId="29" fillId="0" borderId="0" xfId="0" applyFont="1">
      <alignment vertical="center"/>
    </xf>
    <xf numFmtId="0" fontId="29" fillId="0" borderId="0" xfId="0" applyFont="1">
      <alignment vertical="center" wrapText="1"/>
    </xf>
    <xf numFmtId="0" fontId="30" fillId="5" borderId="0" xfId="0" applyFont="1" applyFill="1">
      <alignment horizontal="center" vertical="center" wrapText="1"/>
    </xf>
    <xf numFmtId="0" fontId="31" fillId="3" borderId="0" xfId="0" applyFont="1" applyFill="1">
      <alignment horizontal="center" vertical="center" wrapText="1"/>
    </xf>
    <xf numFmtId="0" fontId="32" fillId="3" borderId="0" xfId="0" applyFont="1" applyFill="1">
      <alignment horizontal="center" vertical="center" wrapText="1"/>
    </xf>
    <xf numFmtId="0" fontId="33" fillId="3" borderId="0" xfId="0" applyFont="1" applyFill="1">
      <alignment horizontal="center" vertical="center" wrapText="1"/>
    </xf>
    <xf numFmtId="0" fontId="34" fillId="3" borderId="0" xfId="0" applyFont="1" applyFill="1">
      <alignment horizontal="center" vertical="center" wrapText="1"/>
    </xf>
    <xf numFmtId="0" fontId="35" fillId="3" borderId="0" xfId="0" applyFont="1" applyFill="1">
      <alignment horizontal="center" vertical="center" wrapText="1"/>
    </xf>
    <xf numFmtId="3" fontId="36" fillId="0" borderId="1" xfId="0" applyNumberFormat="1" applyFont="1" applyBorder="1" applyProtection="1">
      <alignment horizontal="center" vertical="center" wrapText="1"/>
    </xf>
    <xf numFmtId="3" fontId="37" fillId="0" borderId="1" xfId="0" applyNumberFormat="1" applyFont="1" applyBorder="1" applyProtection="1">
      <alignment horizontal="center" vertical="center" wrapText="1"/>
    </xf>
    <xf numFmtId="0" fontId="38" fillId="0" borderId="7" xfId="0" applyFont="1" applyBorder="1" applyProtection="1">
      <alignment horizontal="center" vertical="center" wrapText="1"/>
    </xf>
    <xf numFmtId="0" fontId="39" fillId="5" borderId="1" xfId="0" applyFont="1" applyFill="1" applyBorder="1" applyProtection="1">
      <alignment horizontal="center" vertical="center" wrapText="1"/>
    </xf>
    <xf numFmtId="0" fontId="40" fillId="0" borderId="3" xfId="0" applyFont="1" applyBorder="1" applyProtection="1">
      <alignment horizontal="center" vertical="center" wrapText="1"/>
    </xf>
    <xf numFmtId="3" fontId="41" fillId="0" borderId="1" xfId="0" applyNumberFormat="1" applyFont="1" applyBorder="1" applyProtection="1">
      <alignment horizontal="center" vertical="center" wrapText="1"/>
    </xf>
    <xf numFmtId="3" fontId="42" fillId="0" borderId="1" xfId="0" applyNumberFormat="1" applyFont="1" applyBorder="1" applyProtection="1">
      <alignment horizontal="center" vertical="center" wrapText="1"/>
    </xf>
    <xf numFmtId="0" fontId="43" fillId="0" borderId="7" xfId="0" applyFont="1" applyBorder="1" applyProtection="1">
      <alignment horizontal="center" vertical="center" wrapText="1"/>
    </xf>
    <xf numFmtId="0" fontId="44" fillId="5" borderId="1" xfId="0" applyFont="1" applyFill="1" applyBorder="1" applyProtection="1">
      <alignment horizontal="center" vertical="center" wrapText="1"/>
    </xf>
    <xf numFmtId="0" fontId="45" fillId="0" borderId="3" xfId="0" applyFont="1" applyBorder="1" applyProtection="1">
      <alignment horizontal="center" vertical="center" wrapText="1"/>
    </xf>
    <xf numFmtId="0" fontId="46" fillId="0" borderId="0" xfId="0" applyFont="1">
      <alignment horizontal="left" vertical="top" wrapText="1"/>
    </xf>
    <xf numFmtId="9" fontId="47" fillId="0" borderId="1" xfId="0" applyNumberFormat="1" applyFont="1" applyBorder="1" applyProtection="1">
      <alignment horizontal="center" vertical="center" wrapText="1"/>
    </xf>
    <xf numFmtId="3" fontId="48" fillId="0" borderId="1" xfId="0" applyNumberFormat="1" applyFont="1" applyBorder="1" applyProtection="1">
      <alignment horizontal="center" vertical="center" wrapText="1"/>
    </xf>
    <xf numFmtId="0" fontId="49" fillId="0" borderId="0" xfId="0" applyFont="1">
      <alignment horizontal="center" vertical="center" wrapText="1"/>
    </xf>
    <xf numFmtId="0" fontId="50" fillId="5" borderId="1" xfId="0" applyFont="1" applyFill="1" applyBorder="1" applyProtection="1">
      <alignment horizontal="center" vertical="center" wrapText="1"/>
    </xf>
    <xf numFmtId="0" fontId="51" fillId="0" borderId="1" xfId="0" applyFont="1" applyBorder="1" applyProtection="1">
      <alignment horizontal="center" vertical="center" wrapText="1"/>
    </xf>
    <xf numFmtId="0" fontId="52" fillId="0" borderId="1" xfId="0" applyFont="1" applyBorder="1" applyProtection="1">
      <alignment horizontal="center" vertical="center" wrapText="1"/>
    </xf>
    <xf numFmtId="9" fontId="53" fillId="0" borderId="1" xfId="0" applyNumberFormat="1" applyFont="1" applyBorder="1" applyProtection="1">
      <alignment horizontal="center" vertical="center" wrapText="1"/>
    </xf>
    <xf numFmtId="4" fontId="54" fillId="0" borderId="1" xfId="0" applyNumberFormat="1" applyFont="1" applyBorder="1" applyProtection="1">
      <alignment horizontal="center" vertical="center" wrapText="1"/>
    </xf>
    <xf numFmtId="4" fontId="55" fillId="0" borderId="1" xfId="0" applyNumberFormat="1" applyFont="1" applyBorder="1" applyProtection="1">
      <alignment horizontal="center" vertical="center" wrapText="1"/>
    </xf>
    <xf numFmtId="0" fontId="56" fillId="0" borderId="4" xfId="0" applyFont="1" applyBorder="1" applyProtection="1">
      <alignment horizontal="center" vertical="center" wrapText="1"/>
    </xf>
    <xf numFmtId="0" fontId="57" fillId="5" borderId="1" xfId="0" applyFont="1" applyFill="1" applyBorder="1" applyProtection="1">
      <alignment horizontal="center" vertical="center" wrapText="1"/>
    </xf>
    <xf numFmtId="0" fontId="58" fillId="5" borderId="1" xfId="0" applyFont="1" applyFill="1" applyBorder="1" applyProtection="1">
      <alignment horizontal="center" vertical="center" wrapText="1"/>
    </xf>
    <xf numFmtId="0" fontId="59" fillId="0" borderId="9" xfId="0" applyFont="1" applyBorder="1" applyProtection="1">
      <alignment horizontal="center" vertical="center" wrapText="1"/>
    </xf>
    <xf numFmtId="0" fontId="60" fillId="0" borderId="1" xfId="0" applyFont="1" applyBorder="1" applyProtection="1">
      <alignment horizontal="left" vertical="center" wrapText="1"/>
    </xf>
    <xf numFmtId="10" fontId="61" fillId="0" borderId="1" xfId="0" applyNumberFormat="1" applyFont="1" applyBorder="1" applyProtection="1">
      <alignment horizontal="center" vertical="center" wrapText="1"/>
    </xf>
    <xf numFmtId="0" fontId="62" fillId="0" borderId="7" xfId="0" applyFont="1" applyBorder="1" applyProtection="1">
      <alignment horizontal="center" vertical="center" wrapText="1"/>
    </xf>
    <xf numFmtId="0" fontId="63" fillId="5" borderId="1" xfId="0" applyFont="1" applyFill="1" applyBorder="1" applyProtection="1">
      <alignment horizontal="center" vertical="center" wrapText="1"/>
    </xf>
    <xf numFmtId="0" fontId="64" fillId="0" borderId="1" xfId="0" applyFont="1" applyBorder="1" applyProtection="1">
      <alignment horizontal="center" vertical="center" wrapText="1"/>
    </xf>
    <xf numFmtId="0" fontId="65" fillId="0" borderId="1" xfId="0" applyFont="1" applyBorder="1" applyProtection="1">
      <alignment horizontal="left" vertical="center" wrapText="1"/>
    </xf>
    <xf numFmtId="9" fontId="66" fillId="0" borderId="1" xfId="0" applyNumberFormat="1" applyFont="1" applyBorder="1" applyProtection="1">
      <alignment horizontal="center" vertical="center" wrapText="1"/>
    </xf>
    <xf numFmtId="9" fontId="67" fillId="0" borderId="1" xfId="0" applyNumberFormat="1" applyFont="1" applyBorder="1" applyProtection="1">
      <alignment horizontal="center" vertical="center" wrapText="1"/>
    </xf>
    <xf numFmtId="9" fontId="68" fillId="0" borderId="1" xfId="0" applyNumberFormat="1" applyFont="1" applyBorder="1" applyProtection="1">
      <alignment horizontal="center" vertical="center" wrapText="1"/>
    </xf>
    <xf numFmtId="9" fontId="69" fillId="0" borderId="1" xfId="0" applyNumberFormat="1" applyFont="1" applyBorder="1" applyProtection="1">
      <alignment horizontal="center" vertical="center" wrapText="1"/>
    </xf>
    <xf numFmtId="9" fontId="70" fillId="0" borderId="1" xfId="0" applyNumberFormat="1" applyFont="1" applyBorder="1" applyProtection="1">
      <alignment horizontal="center" vertical="center" wrapText="1"/>
    </xf>
    <xf numFmtId="9" fontId="71" fillId="0" borderId="1" xfId="0" applyNumberFormat="1" applyFont="1" applyBorder="1" applyProtection="1">
      <alignment horizontal="center" vertical="center" wrapText="1"/>
    </xf>
    <xf numFmtId="0" fontId="72" fillId="5" borderId="1" xfId="0" applyFont="1" applyFill="1" applyBorder="1" applyProtection="1">
      <alignment horizontal="center" vertical="center" wrapText="1"/>
    </xf>
    <xf numFmtId="0" fontId="73" fillId="0" borderId="1" xfId="0" applyFont="1" applyBorder="1" applyProtection="1">
      <alignment horizontal="center" vertical="center" wrapText="1"/>
    </xf>
    <xf numFmtId="9" fontId="74" fillId="0" borderId="1" xfId="0" applyNumberFormat="1" applyFont="1" applyBorder="1" applyProtection="1">
      <alignment horizontal="center" vertical="center" wrapText="1"/>
    </xf>
    <xf numFmtId="0" fontId="75" fillId="0" borderId="1" xfId="0" applyFont="1" applyBorder="1" applyProtection="1">
      <alignment horizontal="center" vertical="center" wrapText="1"/>
    </xf>
    <xf numFmtId="0" fontId="76" fillId="0" borderId="1" xfId="0" applyFont="1" applyBorder="1" applyProtection="1">
      <alignment horizontal="center" vertical="center" wrapText="1"/>
    </xf>
    <xf numFmtId="0" fontId="77" fillId="0" borderId="20" xfId="0" applyFont="1" applyBorder="1" applyProtection="1">
      <alignment horizontal="center" vertical="center" wrapText="1"/>
    </xf>
    <xf numFmtId="0" fontId="78" fillId="0" borderId="20" xfId="0" applyFont="1" applyBorder="1" applyProtection="1">
      <alignment horizontal="left" vertical="center" wrapText="1"/>
    </xf>
    <xf numFmtId="0" fontId="79" fillId="0" borderId="20" xfId="0" applyFont="1" applyBorder="1" applyProtection="1">
      <alignment vertical="center" wrapText="1"/>
    </xf>
    <xf numFmtId="0" fontId="80" fillId="0" borderId="20" xfId="0" applyFont="1" applyBorder="1" applyProtection="1">
      <alignment horizontal="center" vertical="center" wrapText="1"/>
    </xf>
    <xf numFmtId="0" fontId="81" fillId="0" borderId="11" xfId="0" applyFont="1" applyBorder="1" applyProtection="1">
      <alignment horizontal="center" vertical="center" wrapText="1"/>
    </xf>
    <xf numFmtId="0" fontId="82" fillId="0" borderId="25" xfId="0" applyFont="1" applyBorder="1" applyProtection="1">
      <alignment vertical="center" wrapText="1"/>
    </xf>
    <xf numFmtId="0" fontId="83" fillId="0" borderId="11" xfId="0" applyFont="1" applyBorder="1" applyProtection="1">
      <alignment horizontal="center" vertical="center" wrapText="1"/>
    </xf>
    <xf numFmtId="0" fontId="84" fillId="0" borderId="2" xfId="0" applyFont="1" applyBorder="1" applyProtection="1">
      <alignment horizontal="center" vertical="center" wrapText="1"/>
    </xf>
    <xf numFmtId="0" fontId="85" fillId="0" borderId="11" xfId="0" applyFont="1" applyBorder="1" applyProtection="1">
      <alignment horizontal="center" vertical="center" wrapText="1"/>
    </xf>
    <xf numFmtId="0" fontId="86" fillId="0" borderId="11" xfId="0" applyFont="1" applyBorder="1" applyProtection="1">
      <alignment horizontal="center" vertical="center" wrapText="1"/>
    </xf>
    <xf numFmtId="0" fontId="87" fillId="0" borderId="11" xfId="0" applyFont="1" applyBorder="1" applyProtection="1">
      <alignment horizontal="center" vertical="center" wrapText="1"/>
    </xf>
    <xf numFmtId="0" fontId="88" fillId="0" borderId="1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i/nodes/93NwLYZXWyglE7edsX5693YkJkyEqBQ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4.61328125" customWidth="1"/>
    <col min="2" max="2" width="24.1435546875" customWidth="1"/>
    <col min="3" max="3" width="34.4619140625" customWidth="1"/>
    <col min="4" max="4" width="14.2294921875" customWidth="1"/>
    <col min="7" max="8" width="14.806640625" customWidth="1"/>
    <col min="10" max="10" width="19.3916015625" customWidth="1"/>
    <col min="11" max="11" width="19.6142578125" customWidth="1"/>
    <col min="21" max="21" width="54.2490234375" customWidth="1"/>
    <col min="24" max="24" width="9.8056640625" customWidth="1"/>
    <col min="25" max="25" width="41.4345703125" customWidth="1"/>
    <col min="26" max="26" width="41.8388671875" customWidth="1"/>
    <col min="27" max="27" width="21.134765625" customWidth="1"/>
    <col min="37" max="37" width="33.4072265625" customWidth="1"/>
  </cols>
  <sheetData>
    <row r="1" s="57" customFormat="1" ht="16.499999999999996" customHeight="1">
      <c r="A1" s="58" t="n">
        <v>56</v>
      </c>
      <c r="B1" s="59" t="s">
        <v>0</v>
      </c>
      <c r="C1" s="60"/>
      <c r="D1" s="60"/>
      <c r="E1" s="60"/>
      <c r="F1" s="60"/>
      <c r="G1" s="10" t="s">
        <v>1</v>
      </c>
      <c r="H1" s="56"/>
      <c r="I1" s="56"/>
      <c r="J1" s="56"/>
      <c r="K1" s="56"/>
      <c r="L1" s="60" t="s">
        <v>2</v>
      </c>
      <c r="M1" s="61"/>
      <c r="N1" s="60" t="s">
        <v>3</v>
      </c>
      <c r="O1" s="56"/>
      <c r="P1" s="60" t="s">
        <v>4</v>
      </c>
      <c r="Q1" s="61"/>
      <c r="R1" s="60" t="s">
        <v>5</v>
      </c>
      <c r="S1" s="61"/>
      <c r="T1" s="60" t="s">
        <v>6</v>
      </c>
      <c r="U1" s="172" t="s">
        <v>7</v>
      </c>
      <c r="V1" s="62" t="s">
        <v>8</v>
      </c>
      <c r="W1" s="56"/>
      <c r="X1" s="56"/>
      <c r="AA1" s="63"/>
      <c r="AB1" s="63" t="s">
        <v>9</v>
      </c>
      <c r="AC1" s="63" t="s">
        <v>10</v>
      </c>
      <c r="AD1" s="63" t="s">
        <v>11</v>
      </c>
      <c r="AE1" s="63" t="s">
        <v>12</v>
      </c>
      <c r="AF1" s="63" t="s">
        <v>13</v>
      </c>
      <c r="AI1" s="64" t="s">
        <v>14</v>
      </c>
      <c r="AJ1" s="56"/>
      <c r="AK1" s="56"/>
      <c r="AL1" s="56"/>
      <c r="AM1" s="56"/>
      <c r="AN1" s="56"/>
      <c r="AO1" s="56"/>
    </row>
    <row r="2" s="31" customFormat="1" ht="22.692994505494458" customHeight="1">
      <c r="A2" s="60" t="s">
        <v>15</v>
      </c>
      <c r="B2" s="65" t="s">
        <v>16</v>
      </c>
      <c r="C2" s="60" t="s">
        <v>17</v>
      </c>
      <c r="D2" s="60" t="s">
        <v>18</v>
      </c>
      <c r="E2" s="60" t="s">
        <v>19</v>
      </c>
      <c r="F2" s="60" t="s">
        <v>20</v>
      </c>
      <c r="G2" s="173" t="s">
        <v>21</v>
      </c>
      <c r="H2" s="174" t="s">
        <v>22</v>
      </c>
      <c r="I2" s="175" t="s">
        <v>23</v>
      </c>
      <c r="J2" s="176" t="s">
        <v>24</v>
      </c>
      <c r="K2" s="177" t="s">
        <v>25</v>
      </c>
      <c r="L2" s="60" t="s">
        <v>26</v>
      </c>
      <c r="M2" s="60" t="s">
        <v>27</v>
      </c>
      <c r="N2" s="60" t="s">
        <v>26</v>
      </c>
      <c r="O2" s="60" t="s">
        <v>27</v>
      </c>
      <c r="P2" s="60" t="s">
        <v>26</v>
      </c>
      <c r="Q2" s="60" t="s">
        <v>27</v>
      </c>
      <c r="R2" s="60" t="s">
        <v>26</v>
      </c>
      <c r="S2" s="60" t="s">
        <v>27</v>
      </c>
      <c r="T2" s="60" t="s">
        <v>28</v>
      </c>
      <c r="U2" s="56"/>
      <c r="V2" s="62" t="s">
        <v>29</v>
      </c>
      <c r="W2" s="62" t="s">
        <v>30</v>
      </c>
      <c r="X2" s="62" t="s">
        <v>31</v>
      </c>
      <c r="Y2" s="8" t="s">
        <v>32</v>
      </c>
      <c r="Z2" s="8" t="s">
        <v>33</v>
      </c>
      <c r="AA2" s="8" t="s">
        <v>19</v>
      </c>
      <c r="AB2" s="66"/>
      <c r="AC2" s="66"/>
      <c r="AD2" s="66"/>
      <c r="AE2" s="66"/>
      <c r="AF2" s="66"/>
      <c r="AI2" s="36" t="s">
        <v>15</v>
      </c>
      <c r="AJ2" s="36" t="s">
        <v>16</v>
      </c>
      <c r="AK2" s="36" t="s">
        <v>34</v>
      </c>
      <c r="AL2" s="36" t="s">
        <v>19</v>
      </c>
      <c r="AM2" s="36" t="s">
        <v>20</v>
      </c>
      <c r="AN2" s="36" t="s">
        <v>35</v>
      </c>
      <c r="AO2" s="36" t="s">
        <v>36</v>
      </c>
    </row>
    <row r="3" s="31" customFormat="1" ht="76.34134615384615" customHeight="1">
      <c r="A3" s="29" t="s">
        <v>37</v>
      </c>
      <c r="B3" s="22" t="s">
        <v>38</v>
      </c>
      <c r="C3" s="22" t="s">
        <v>39</v>
      </c>
      <c r="D3" s="12" t="s">
        <v>40</v>
      </c>
      <c r="E3" s="12" t="s">
        <v>41</v>
      </c>
      <c r="F3" s="14" t="n">
        <v>0.1</v>
      </c>
      <c r="G3" s="178" t="s">
        <v>42</v>
      </c>
      <c r="H3" s="18"/>
      <c r="I3" s="18"/>
      <c r="J3" s="179" t="s">
        <v>43</v>
      </c>
      <c r="K3" s="5"/>
      <c r="L3" s="15" t="n">
        <v>64600</v>
      </c>
      <c r="M3" s="12" t="s">
        <v>44</v>
      </c>
      <c r="N3" s="15" t="n">
        <v>21309</v>
      </c>
      <c r="O3" s="12" t="s">
        <v>44</v>
      </c>
      <c r="P3" s="15" t="n">
        <v>16500</v>
      </c>
      <c r="Q3" s="15" t="s">
        <v>44</v>
      </c>
      <c r="R3" s="15" t="n">
        <v>75000</v>
      </c>
      <c r="S3" s="12" t="s">
        <v>44</v>
      </c>
      <c r="T3" s="26" t="n">
        <f>R3/L3-1</f>
        <v>0.1609907120743</v>
      </c>
      <c r="U3" s="180" t="s">
        <v>45</v>
      </c>
      <c r="V3" s="32"/>
      <c r="W3" s="12"/>
      <c r="X3" s="12"/>
      <c r="Y3" s="181" t="s">
        <v>46</v>
      </c>
      <c r="Z3" s="27"/>
      <c r="AA3" s="27" t="s">
        <v>47</v>
      </c>
      <c r="AB3" s="68" t="s">
        <v>48</v>
      </c>
      <c r="AC3" s="69" t="s">
        <v>48</v>
      </c>
      <c r="AD3" s="70" t="s">
        <v>48</v>
      </c>
      <c r="AE3" s="68" t="s">
        <v>48</v>
      </c>
      <c r="AF3" s="68" t="s">
        <v>48</v>
      </c>
      <c r="AI3" s="23" t="s">
        <v>37</v>
      </c>
      <c r="AJ3" s="23" t="s">
        <v>49</v>
      </c>
      <c r="AK3" s="25" t="s">
        <v>50</v>
      </c>
      <c r="AL3" s="23" t="s">
        <v>51</v>
      </c>
      <c r="AM3" s="24" t="n">
        <v>0.2</v>
      </c>
      <c r="AN3" s="23" t="s">
        <v>52</v>
      </c>
      <c r="AO3" s="182" t="s">
        <v>53</v>
      </c>
    </row>
    <row r="4" ht="71.84134615384615" customHeight="1">
      <c r="A4" s="71"/>
      <c r="B4" s="22" t="s">
        <v>54</v>
      </c>
      <c r="C4" s="22" t="s">
        <v>55</v>
      </c>
      <c r="D4" s="12" t="s">
        <v>40</v>
      </c>
      <c r="E4" s="12" t="s">
        <v>41</v>
      </c>
      <c r="F4" s="14" t="n">
        <v>0.4</v>
      </c>
      <c r="G4" s="183" t="s">
        <v>56</v>
      </c>
      <c r="H4" s="18"/>
      <c r="I4" s="18"/>
      <c r="J4" s="184" t="s">
        <v>57</v>
      </c>
      <c r="K4" s="5"/>
      <c r="L4" s="15" t="n">
        <v>13500</v>
      </c>
      <c r="M4" s="12" t="s">
        <v>44</v>
      </c>
      <c r="N4" s="15" t="n">
        <v>5889</v>
      </c>
      <c r="O4" s="12" t="s">
        <v>44</v>
      </c>
      <c r="P4" s="15" t="n">
        <v>3173</v>
      </c>
      <c r="Q4" s="15" t="s">
        <v>44</v>
      </c>
      <c r="R4" s="15" t="n">
        <v>15500</v>
      </c>
      <c r="S4" s="12" t="s">
        <v>44</v>
      </c>
      <c r="T4" s="26" t="n">
        <f>R4/L4-1</f>
        <v>0.14814814814815</v>
      </c>
      <c r="U4" s="185" t="s">
        <v>58</v>
      </c>
      <c r="V4" s="32"/>
      <c r="W4" s="12"/>
      <c r="X4" s="12"/>
      <c r="Y4" s="186" t="s">
        <v>59</v>
      </c>
      <c r="Z4" s="27"/>
      <c r="AA4" s="27" t="s">
        <v>47</v>
      </c>
      <c r="AB4" s="68" t="s">
        <v>48</v>
      </c>
      <c r="AC4" s="72" t="s">
        <v>48</v>
      </c>
      <c r="AD4" s="73" t="s">
        <v>48</v>
      </c>
      <c r="AE4" s="68" t="s">
        <v>48</v>
      </c>
      <c r="AF4" s="68" t="s">
        <v>48</v>
      </c>
      <c r="AG4" s="31"/>
      <c r="AH4" s="31"/>
      <c r="AI4" s="23"/>
      <c r="AJ4" s="23" t="s">
        <v>54</v>
      </c>
      <c r="AK4" s="25" t="s">
        <v>60</v>
      </c>
      <c r="AL4" s="23" t="s">
        <v>51</v>
      </c>
      <c r="AM4" s="24" t="n">
        <v>0.2</v>
      </c>
      <c r="AN4" s="23" t="s">
        <v>61</v>
      </c>
      <c r="AO4" s="187" t="s">
        <v>62</v>
      </c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ht="39.06907894736839" customHeight="1">
      <c r="A5" s="41" t="s">
        <v>63</v>
      </c>
      <c r="B5" s="74" t="s">
        <v>64</v>
      </c>
      <c r="C5" s="188" t="s">
        <v>65</v>
      </c>
      <c r="D5" s="75" t="s">
        <v>66</v>
      </c>
      <c r="E5" s="11" t="s">
        <v>67</v>
      </c>
      <c r="F5" s="42" t="n">
        <v>0.05</v>
      </c>
      <c r="G5" s="16" t="s">
        <v>68</v>
      </c>
      <c r="H5" s="11" t="s">
        <v>69</v>
      </c>
      <c r="I5" s="43" t="s">
        <v>70</v>
      </c>
      <c r="J5" s="189" t="s">
        <v>71</v>
      </c>
      <c r="K5" s="190" t="s">
        <v>72</v>
      </c>
      <c r="L5" s="43" t="n">
        <v>0</v>
      </c>
      <c r="M5" s="76" t="s">
        <v>73</v>
      </c>
      <c r="N5" s="43" t="n">
        <v>0</v>
      </c>
      <c r="O5" s="76" t="s">
        <v>73</v>
      </c>
      <c r="P5" s="43" t="n">
        <v>0</v>
      </c>
      <c r="Q5" s="76" t="s">
        <v>73</v>
      </c>
      <c r="R5" s="43" t="n">
        <v>0</v>
      </c>
      <c r="S5" s="76" t="s">
        <v>73</v>
      </c>
      <c r="T5" s="45" t="s">
        <v>69</v>
      </c>
      <c r="U5" s="191" t="s">
        <v>74</v>
      </c>
      <c r="V5" s="46"/>
      <c r="W5" s="46"/>
      <c r="X5" s="46"/>
      <c r="Y5" s="27" t="n">
        <v>0</v>
      </c>
      <c r="Z5" s="192" t="s">
        <v>75</v>
      </c>
      <c r="AA5" s="27" t="s">
        <v>76</v>
      </c>
      <c r="AB5" s="77" t="s">
        <v>48</v>
      </c>
      <c r="AC5" s="78" t="s">
        <v>48</v>
      </c>
      <c r="AD5" s="78" t="s">
        <v>48</v>
      </c>
      <c r="AE5" s="79" t="s">
        <v>48</v>
      </c>
      <c r="AF5" s="79" t="s">
        <v>48</v>
      </c>
      <c r="AG5" s="31"/>
      <c r="AH5" s="31"/>
      <c r="AI5" s="23"/>
      <c r="AJ5" s="23"/>
      <c r="AK5" s="25"/>
      <c r="AL5" s="23"/>
      <c r="AM5" s="24"/>
      <c r="AN5" s="23"/>
      <c r="AO5" s="23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ht="160.97444331983812" customHeight="1">
      <c r="A6" s="80"/>
      <c r="B6" s="193" t="s">
        <v>77</v>
      </c>
      <c r="C6" s="194" t="s">
        <v>78</v>
      </c>
      <c r="D6" s="21" t="s">
        <v>79</v>
      </c>
      <c r="E6" s="11" t="s">
        <v>67</v>
      </c>
      <c r="F6" s="47" t="n">
        <v>0.1</v>
      </c>
      <c r="G6" s="11" t="n">
        <v>8.64</v>
      </c>
      <c r="H6" s="20" t="n">
        <f>8.64/12.69-1</f>
        <v>-0.319148936170213</v>
      </c>
      <c r="I6" s="43" t="s">
        <v>70</v>
      </c>
      <c r="J6" s="195" t="s">
        <v>80</v>
      </c>
      <c r="K6" s="196" t="s">
        <v>81</v>
      </c>
      <c r="L6" s="197" t="s">
        <v>82</v>
      </c>
      <c r="M6" s="46" t="s">
        <v>83</v>
      </c>
      <c r="N6" s="49" t="n">
        <v>10.9</v>
      </c>
      <c r="O6" s="46" t="s">
        <v>83</v>
      </c>
      <c r="P6" s="49" t="n">
        <v>10.9</v>
      </c>
      <c r="Q6" s="46" t="s">
        <v>83</v>
      </c>
      <c r="R6" s="49" t="n">
        <v>10.9</v>
      </c>
      <c r="S6" s="46" t="s">
        <v>83</v>
      </c>
      <c r="T6" s="50" t="n">
        <v>-0.2</v>
      </c>
      <c r="U6" s="198" t="s">
        <v>84</v>
      </c>
      <c r="V6" s="52"/>
      <c r="W6" s="52"/>
      <c r="X6" s="52"/>
      <c r="Y6" s="199" t="s">
        <v>85</v>
      </c>
      <c r="Z6" s="200" t="s">
        <v>86</v>
      </c>
      <c r="AA6" s="27" t="s">
        <v>76</v>
      </c>
      <c r="AB6" s="77"/>
      <c r="AC6" s="78"/>
      <c r="AD6" s="78"/>
      <c r="AE6" s="79"/>
      <c r="AF6" s="79"/>
      <c r="AG6" s="31"/>
      <c r="AH6" s="31"/>
      <c r="AI6" s="23"/>
      <c r="AJ6" s="23"/>
      <c r="AK6" s="25"/>
      <c r="AL6" s="23"/>
      <c r="AM6" s="24"/>
      <c r="AN6" s="23"/>
      <c r="AO6" s="23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ht="53.66266318820491" customHeight="1">
      <c r="A7" s="201" t="s">
        <v>87</v>
      </c>
      <c r="B7" s="53" t="s">
        <v>88</v>
      </c>
      <c r="C7" s="202" t="s">
        <v>89</v>
      </c>
      <c r="D7" s="12" t="s">
        <v>40</v>
      </c>
      <c r="E7" s="12" t="s">
        <v>41</v>
      </c>
      <c r="F7" s="47" t="n">
        <v>0.12</v>
      </c>
      <c r="G7" s="13" t="s">
        <v>90</v>
      </c>
      <c r="H7" s="13" t="n">
        <f>(12-6)/6</f>
        <v>1</v>
      </c>
      <c r="I7" s="43" t="s">
        <v>70</v>
      </c>
      <c r="J7" s="203" t="s">
        <v>91</v>
      </c>
      <c r="K7" s="38"/>
      <c r="L7" s="17" t="s">
        <v>92</v>
      </c>
      <c r="M7" s="12" t="s">
        <v>28</v>
      </c>
      <c r="N7" s="12" t="s">
        <v>93</v>
      </c>
      <c r="O7" s="12" t="s">
        <v>28</v>
      </c>
      <c r="P7" s="14" t="s">
        <v>94</v>
      </c>
      <c r="Q7" s="12" t="s">
        <v>28</v>
      </c>
      <c r="R7" s="14" t="s">
        <v>95</v>
      </c>
      <c r="S7" s="12" t="s">
        <v>28</v>
      </c>
      <c r="T7" s="14" t="n">
        <f>10/4-1</f>
        <v>1.5</v>
      </c>
      <c r="U7" s="204" t="s">
        <v>96</v>
      </c>
      <c r="V7" s="12"/>
      <c r="W7" s="12"/>
      <c r="X7" s="12"/>
      <c r="Y7" s="205" t="s">
        <v>97</v>
      </c>
      <c r="Z7" s="27" t="s">
        <v>98</v>
      </c>
      <c r="AA7" s="27" t="s">
        <v>99</v>
      </c>
      <c r="AB7" s="82" t="s">
        <v>48</v>
      </c>
      <c r="AC7" s="68" t="s">
        <v>48</v>
      </c>
      <c r="AD7" s="68" t="s">
        <v>48</v>
      </c>
      <c r="AE7" s="83" t="s">
        <v>48</v>
      </c>
      <c r="AF7" s="83" t="s">
        <v>48</v>
      </c>
      <c r="AG7" s="31"/>
      <c r="AH7" s="31"/>
      <c r="AI7" s="23"/>
      <c r="AJ7" s="23"/>
      <c r="AK7" s="25"/>
      <c r="AL7" s="23"/>
      <c r="AM7" s="24"/>
      <c r="AN7" s="23"/>
      <c r="AO7" s="23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ht="159.33566433566423" customHeight="1">
      <c r="A8" s="84"/>
      <c r="B8" s="206" t="s">
        <v>100</v>
      </c>
      <c r="C8" s="207" t="s">
        <v>101</v>
      </c>
      <c r="D8" s="21" t="s">
        <v>102</v>
      </c>
      <c r="E8" s="12" t="s">
        <v>103</v>
      </c>
      <c r="F8" s="208" t="s">
        <v>104</v>
      </c>
      <c r="G8" s="209" t="s">
        <v>105</v>
      </c>
      <c r="H8" s="210" t="s">
        <v>106</v>
      </c>
      <c r="I8" s="19" t="s">
        <v>107</v>
      </c>
      <c r="J8" s="211" t="s">
        <v>108</v>
      </c>
      <c r="K8" s="212" t="s">
        <v>109</v>
      </c>
      <c r="L8" s="39" t="n">
        <v>47919</v>
      </c>
      <c r="M8" s="30" t="s">
        <v>110</v>
      </c>
      <c r="N8" s="33" t="n">
        <v>56103.00601</v>
      </c>
      <c r="O8" s="30" t="s">
        <v>110</v>
      </c>
      <c r="P8" s="33" t="n">
        <f>L8*1.05</f>
        <v>50314.95</v>
      </c>
      <c r="Q8" s="14" t="s">
        <v>110</v>
      </c>
      <c r="R8" s="33" t="n">
        <f>L8*1.2</f>
        <v>57502.8</v>
      </c>
      <c r="S8" s="12" t="s">
        <v>110</v>
      </c>
      <c r="T8" s="28" t="n">
        <v>0.2</v>
      </c>
      <c r="U8" s="213" t="s">
        <v>108</v>
      </c>
      <c r="V8" s="12"/>
      <c r="W8" s="12"/>
      <c r="X8" s="12"/>
      <c r="Y8" s="214" t="s">
        <v>111</v>
      </c>
      <c r="Z8" s="27" t="s">
        <v>112</v>
      </c>
      <c r="AA8" s="27" t="s">
        <v>99</v>
      </c>
      <c r="AB8" s="68" t="s">
        <v>48</v>
      </c>
      <c r="AC8" s="70" t="s">
        <v>48</v>
      </c>
      <c r="AD8" s="70" t="s">
        <v>48</v>
      </c>
      <c r="AE8" s="68" t="s">
        <v>48</v>
      </c>
      <c r="AF8" s="85" t="s">
        <v>113</v>
      </c>
      <c r="AG8" s="31"/>
      <c r="AH8" s="31"/>
      <c r="AI8" s="23"/>
      <c r="AJ8" s="23"/>
      <c r="AK8" s="25"/>
      <c r="AL8" s="23"/>
      <c r="AM8" s="24"/>
      <c r="AN8" s="23"/>
      <c r="AO8" s="23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</row>
    <row r="9" ht="64.5" customHeight="1">
      <c r="A9" s="35" t="s">
        <v>114</v>
      </c>
      <c r="B9" s="55" t="s">
        <v>115</v>
      </c>
      <c r="C9" s="215" t="s">
        <v>116</v>
      </c>
      <c r="D9" s="12"/>
      <c r="E9" s="12"/>
      <c r="F9" s="216" t="s">
        <v>117</v>
      </c>
      <c r="G9" s="19" t="n">
        <v>1</v>
      </c>
      <c r="H9" s="19"/>
      <c r="I9" s="19"/>
      <c r="J9" s="217" t="s">
        <v>118</v>
      </c>
      <c r="K9" s="19"/>
      <c r="L9" s="14"/>
      <c r="M9" s="12"/>
      <c r="N9" s="12"/>
      <c r="O9" s="12"/>
      <c r="P9" s="14"/>
      <c r="Q9" s="14"/>
      <c r="R9" s="14"/>
      <c r="S9" s="12"/>
      <c r="T9" s="14"/>
      <c r="U9" s="218" t="s">
        <v>118</v>
      </c>
      <c r="V9" s="12"/>
      <c r="W9" s="12"/>
      <c r="X9" s="12"/>
      <c r="Y9" s="31"/>
      <c r="Z9" s="31"/>
      <c r="AA9" s="31"/>
      <c r="AB9" s="68"/>
      <c r="AC9" s="68"/>
      <c r="AD9" s="68"/>
      <c r="AE9" s="68"/>
      <c r="AF9" s="86"/>
      <c r="AG9" s="31"/>
      <c r="AH9" s="31"/>
      <c r="AJ9" s="87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</row>
    <row r="10" ht="16.5" customHeight="1">
      <c r="B10" s="88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56" t="s">
        <v>119</v>
      </c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</row>
    <row r="11" ht="16.5" customHeight="1">
      <c r="A11" s="57" t="s">
        <v>120</v>
      </c>
      <c r="B11" s="9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12"/>
      <c r="W11" s="12"/>
      <c r="X11" s="12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</row>
    <row r="12" ht="16.5" customHeight="1">
      <c r="A12" s="57" t="s">
        <v>121</v>
      </c>
      <c r="B12" s="9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12"/>
      <c r="W12" s="12"/>
      <c r="X12" s="12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</row>
    <row r="13" ht="16.5" customHeight="1">
      <c r="A13" s="57"/>
      <c r="B13" s="9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12"/>
      <c r="W13" s="12"/>
      <c r="X13" s="12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</row>
    <row r="14" ht="16.5" customHeight="1">
      <c r="A14" s="57"/>
      <c r="B14" s="9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12"/>
      <c r="W14" s="12"/>
      <c r="X14" s="12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</row>
    <row r="15" ht="16.5" customHeight="1">
      <c r="A15" s="57"/>
      <c r="B15" s="9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</row>
    <row r="16" ht="16.5" customHeight="1">
      <c r="A16" s="57"/>
      <c r="B16" s="9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</row>
    <row r="17" ht="16.5" customHeight="1">
      <c r="A17" s="57"/>
      <c r="B17" s="9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</row>
    <row r="18" ht="16.5" customHeight="1">
      <c r="A18" s="57"/>
      <c r="B18" s="9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</row>
    <row r="19" ht="16.5" customHeight="1">
      <c r="A19" s="57"/>
      <c r="B19" s="9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</row>
    <row r="20" ht="16.5" customHeight="1">
      <c r="A20" s="57"/>
      <c r="B20" s="9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</row>
    <row r="21" ht="16.5" customHeight="1">
      <c r="A21" s="57"/>
      <c r="B21" s="9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</row>
    <row r="22" ht="16.5" customHeight="1">
      <c r="A22" s="57"/>
      <c r="B22" s="9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</row>
    <row r="23" ht="16.5" customHeight="1">
      <c r="A23" s="57"/>
      <c r="B23" s="9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</row>
    <row r="24" ht="16.5" customHeight="1">
      <c r="A24" s="57"/>
      <c r="B24" s="9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</row>
    <row r="25" ht="16.5" customHeight="1">
      <c r="A25" s="57"/>
      <c r="B25" s="9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</row>
    <row r="26" ht="16.5" customHeight="1">
      <c r="A26" s="57"/>
      <c r="B26" s="9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</row>
    <row r="27" ht="16.5" customHeight="1">
      <c r="A27" s="57"/>
      <c r="B27" s="9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</row>
    <row r="28" ht="16.5" customHeight="1">
      <c r="A28" s="57"/>
      <c r="B28" s="9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</row>
    <row r="29" ht="16.5" customHeight="1">
      <c r="A29" s="57"/>
      <c r="B29" s="9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</row>
    <row r="30" ht="16.5" customHeight="1">
      <c r="A30" s="57"/>
      <c r="B30" s="9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</row>
    <row r="31" ht="16.5" customHeight="1">
      <c r="A31" s="57"/>
      <c r="B31" s="9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ht="16.5" customHeight="1">
      <c r="A32" s="57"/>
      <c r="B32" s="9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ht="16.5" customHeight="1">
      <c r="A33" s="57"/>
      <c r="B33" s="9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ht="16.5" customHeight="1">
      <c r="A34" s="57"/>
      <c r="B34" s="9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ht="16.5" customHeight="1">
      <c r="A35" s="57"/>
      <c r="B35" s="9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ht="16.5" customHeight="1">
      <c r="A36" s="57"/>
      <c r="B36" s="9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ht="16.5" customHeight="1">
      <c r="A37" s="57"/>
      <c r="B37" s="9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ht="16.5" customHeight="1">
      <c r="A38" s="57"/>
      <c r="B38" s="9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ht="16.5" customHeight="1">
      <c r="A39" s="57"/>
      <c r="B39" s="9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ht="16.5" customHeight="1">
      <c r="A40" s="57"/>
      <c r="B40" s="9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ht="16.5" customHeight="1">
      <c r="A41" s="57"/>
      <c r="B41" s="9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ht="16.5" customHeight="1">
      <c r="A42" s="57"/>
      <c r="B42" s="9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ht="16.5" customHeight="1">
      <c r="A43" s="57"/>
      <c r="B43" s="9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ht="16.5" customHeight="1">
      <c r="A44" s="57"/>
      <c r="B44" s="9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ht="16.5" customHeight="1">
      <c r="A45" s="57"/>
      <c r="B45" s="9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ht="16.5" customHeight="1">
      <c r="A46" s="57"/>
      <c r="B46" s="9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</row>
    <row r="47" ht="16.5" customHeight="1">
      <c r="A47" s="57"/>
      <c r="B47" s="9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</row>
    <row r="48" ht="16.5" customHeight="1">
      <c r="A48" s="57"/>
      <c r="B48" s="9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</row>
    <row r="49" ht="16.5" customHeight="1">
      <c r="A49" s="57"/>
      <c r="B49" s="9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</row>
    <row r="50" ht="16.5" customHeight="1">
      <c r="A50" s="57"/>
      <c r="B50" s="9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</row>
    <row r="51" ht="16.5" customHeight="1">
      <c r="A51" s="57"/>
      <c r="B51" s="9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</row>
    <row r="52" ht="16.5" customHeight="1">
      <c r="A52" s="57"/>
      <c r="B52" s="9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</row>
    <row r="53" ht="16.5" customHeight="1">
      <c r="A53" s="57"/>
      <c r="B53" s="9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</row>
    <row r="54" ht="16.5" customHeight="1">
      <c r="A54" s="57"/>
      <c r="B54" s="9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</row>
    <row r="55" ht="16.5" customHeight="1">
      <c r="A55" s="57"/>
      <c r="B55" s="9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</row>
    <row r="56" ht="16.5" customHeight="1">
      <c r="A56" s="57"/>
      <c r="B56" s="9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</row>
    <row r="57" ht="16.5" customHeight="1">
      <c r="A57" s="57"/>
      <c r="B57" s="9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</row>
    <row r="58" ht="16.5" customHeight="1">
      <c r="A58" s="57"/>
      <c r="B58" s="9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</row>
    <row r="59" ht="16.5" customHeight="1">
      <c r="A59" s="57"/>
      <c r="B59" s="9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</row>
    <row r="60" ht="16.5" customHeight="1">
      <c r="A60" s="57"/>
      <c r="B60" s="9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</row>
    <row r="61" ht="16.5" customHeight="1">
      <c r="A61" s="57"/>
      <c r="B61" s="9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</row>
    <row r="62" ht="16.5" customHeight="1">
      <c r="A62" s="57"/>
      <c r="B62" s="9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</row>
    <row r="63" ht="16.5" customHeight="1">
      <c r="A63" s="57"/>
      <c r="B63" s="9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</row>
    <row r="64" ht="16.5" customHeight="1">
      <c r="A64" s="57"/>
      <c r="B64" s="9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</row>
    <row r="65" ht="16.5" customHeight="1">
      <c r="A65" s="57"/>
      <c r="B65" s="9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</row>
    <row r="66" ht="16.5" customHeight="1">
      <c r="A66" s="57"/>
      <c r="B66" s="90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</row>
    <row r="67" ht="16.5" customHeight="1">
      <c r="A67" s="57"/>
      <c r="B67" s="9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</row>
    <row r="68" ht="16.5" customHeight="1">
      <c r="A68" s="57"/>
      <c r="B68" s="9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</row>
    <row r="69" ht="16.5" customHeight="1">
      <c r="A69" s="57"/>
      <c r="B69" s="90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</row>
    <row r="70" ht="16.5" customHeight="1">
      <c r="A70" s="57"/>
      <c r="B70" s="9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</row>
    <row r="71" ht="16.5" customHeight="1">
      <c r="A71" s="57"/>
      <c r="B71" s="9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</row>
    <row r="72" ht="16.5" customHeight="1">
      <c r="A72" s="57"/>
      <c r="B72" s="9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</row>
    <row r="73" ht="16.5" customHeight="1">
      <c r="A73" s="57"/>
      <c r="B73" s="9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</row>
    <row r="74" ht="16.5" customHeight="1">
      <c r="A74" s="57"/>
      <c r="B74" s="9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</row>
    <row r="75" ht="16.5" customHeight="1">
      <c r="A75" s="57"/>
      <c r="B75" s="90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</row>
    <row r="76" ht="16.5" customHeight="1">
      <c r="A76" s="57"/>
      <c r="B76" s="9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</row>
    <row r="77" ht="16.5" customHeight="1">
      <c r="A77" s="57"/>
      <c r="B77" s="9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</row>
    <row r="78" ht="16.5" customHeight="1">
      <c r="A78" s="57"/>
      <c r="B78" s="90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</row>
    <row r="79" ht="16.5" customHeight="1">
      <c r="A79" s="57"/>
      <c r="B79" s="9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</row>
    <row r="80" ht="16.5" customHeight="1">
      <c r="A80" s="57"/>
      <c r="B80" s="9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</row>
    <row r="81" ht="16.5" customHeight="1">
      <c r="A81" s="57"/>
      <c r="B81" s="90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</row>
    <row r="82" ht="16.5" customHeight="1">
      <c r="A82" s="57"/>
      <c r="B82" s="90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</row>
    <row r="83" ht="16.5" customHeight="1">
      <c r="A83" s="57"/>
      <c r="B83" s="90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</row>
    <row r="84" ht="16.5" customHeight="1">
      <c r="A84" s="57"/>
      <c r="B84" s="90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</row>
    <row r="85" ht="16.5" customHeight="1">
      <c r="A85" s="57"/>
      <c r="B85" s="90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</row>
    <row r="86" ht="16.5" customHeight="1">
      <c r="A86" s="57"/>
      <c r="B86" s="90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</row>
    <row r="87" ht="16.5" customHeight="1">
      <c r="A87" s="57"/>
      <c r="B87" s="90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</row>
    <row r="88" ht="16.5" customHeight="1">
      <c r="A88" s="57"/>
      <c r="B88" s="90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</row>
    <row r="89" ht="16.5" customHeight="1">
      <c r="A89" s="57"/>
      <c r="B89" s="90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</row>
    <row r="90" ht="16.5" customHeight="1">
      <c r="A90" s="57"/>
      <c r="B90" s="90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</row>
    <row r="91" ht="16.5" customHeight="1">
      <c r="A91" s="57"/>
      <c r="B91" s="90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</row>
    <row r="92" ht="16.5" customHeight="1">
      <c r="A92" s="57"/>
      <c r="B92" s="90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</row>
    <row r="93" ht="16.5" customHeight="1">
      <c r="A93" s="57"/>
      <c r="B93" s="9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</row>
    <row r="94" ht="16.5" customHeight="1">
      <c r="A94" s="57"/>
      <c r="B94" s="90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</row>
    <row r="95" ht="16.5" customHeight="1">
      <c r="A95" s="57"/>
      <c r="B95" s="90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</row>
    <row r="96" ht="16.5" customHeight="1">
      <c r="A96" s="57"/>
      <c r="B96" s="90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</row>
    <row r="97" ht="16.5" customHeight="1">
      <c r="A97" s="57"/>
      <c r="B97" s="90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</row>
    <row r="98" ht="16.5" customHeight="1">
      <c r="A98" s="57"/>
      <c r="B98" s="90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</row>
    <row r="99" ht="16.5" customHeight="1">
      <c r="A99" s="57"/>
      <c r="B99" s="9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</row>
    <row r="100" ht="16.5" customHeight="1">
      <c r="A100" s="57"/>
      <c r="B100" s="90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</row>
    <row r="101" ht="16.5" customHeight="1">
      <c r="A101" s="57"/>
      <c r="B101" s="90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</row>
    <row r="102" ht="16.5" customHeight="1">
      <c r="A102" s="57"/>
      <c r="B102" s="90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</row>
    <row r="103" ht="16.5" customHeight="1">
      <c r="A103" s="57"/>
      <c r="B103" s="9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</row>
    <row r="104" ht="16.5" customHeight="1">
      <c r="A104" s="57"/>
      <c r="B104" s="9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</row>
    <row r="105" ht="16.5" customHeight="1">
      <c r="A105" s="57"/>
      <c r="B105" s="90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</row>
    <row r="106" ht="16.5" customHeight="1">
      <c r="A106" s="57"/>
      <c r="B106" s="90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</row>
    <row r="107" ht="16.5" customHeight="1">
      <c r="A107" s="57"/>
      <c r="B107" s="90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</row>
    <row r="108" ht="16.5" customHeight="1">
      <c r="A108" s="57"/>
      <c r="B108" s="90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</row>
    <row r="109" ht="16.5" customHeight="1">
      <c r="A109" s="57"/>
      <c r="B109" s="90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</row>
    <row r="110" ht="16.5" customHeight="1">
      <c r="A110" s="57"/>
      <c r="B110" s="90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</row>
    <row r="111" ht="16.5" customHeight="1">
      <c r="A111" s="57"/>
      <c r="B111" s="90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</row>
    <row r="112" ht="16.5" customHeight="1">
      <c r="A112" s="57"/>
      <c r="B112" s="90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</row>
    <row r="113" ht="16.5" customHeight="1">
      <c r="A113" s="57"/>
      <c r="B113" s="90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</row>
    <row r="114" ht="16.5" customHeight="1">
      <c r="A114" s="57"/>
      <c r="B114" s="9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</row>
    <row r="115" ht="16.5" customHeight="1">
      <c r="A115" s="57"/>
      <c r="B115" s="9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</row>
    <row r="116" ht="16.5" customHeight="1">
      <c r="A116" s="57"/>
      <c r="B116" s="9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</row>
    <row r="117" ht="16.5" customHeight="1">
      <c r="A117" s="57"/>
      <c r="B117" s="9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</row>
    <row r="118" ht="16.5" customHeight="1">
      <c r="A118" s="57"/>
      <c r="B118" s="9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</row>
    <row r="119" ht="16.5" customHeight="1">
      <c r="A119" s="57"/>
      <c r="B119" s="9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</row>
    <row r="120" ht="16.5" customHeight="1">
      <c r="A120" s="57"/>
      <c r="B120" s="9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</row>
    <row r="121" ht="16.5" customHeight="1">
      <c r="A121" s="57"/>
      <c r="B121" s="9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</row>
    <row r="122" ht="16.5" customHeight="1">
      <c r="A122" s="57"/>
      <c r="B122" s="9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</row>
    <row r="123" ht="16.5" customHeight="1">
      <c r="A123" s="57"/>
      <c r="B123" s="9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</row>
    <row r="124" ht="16.5" customHeight="1">
      <c r="A124" s="57"/>
      <c r="B124" s="9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</row>
    <row r="125" ht="16.5" customHeight="1">
      <c r="A125" s="57"/>
      <c r="B125" s="9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</row>
    <row r="126" ht="16.5" customHeight="1">
      <c r="A126" s="57"/>
      <c r="B126" s="9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</row>
    <row r="127" ht="16.5" customHeight="1">
      <c r="A127" s="57"/>
      <c r="B127" s="9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</row>
    <row r="128" ht="16.5" customHeight="1">
      <c r="A128" s="57"/>
      <c r="B128" s="9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</row>
    <row r="129" ht="16.5" customHeight="1">
      <c r="A129" s="57"/>
      <c r="B129" s="9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</row>
    <row r="130" ht="16.5" customHeight="1">
      <c r="A130" s="57"/>
      <c r="B130" s="9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</row>
    <row r="131" ht="16.5" customHeight="1">
      <c r="A131" s="57"/>
      <c r="B131" s="9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</row>
    <row r="132" ht="16.5" customHeight="1">
      <c r="A132" s="57"/>
      <c r="B132" s="9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</row>
    <row r="133" ht="16.5" customHeight="1">
      <c r="A133" s="57"/>
      <c r="B133" s="9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</row>
    <row r="134" ht="16.5" customHeight="1">
      <c r="A134" s="57"/>
      <c r="B134" s="9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</row>
    <row r="135" ht="16.5" customHeight="1">
      <c r="A135" s="57"/>
      <c r="B135" s="9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ht="16.5" customHeight="1">
      <c r="A136" s="57"/>
      <c r="B136" s="9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ht="16.5" customHeight="1">
      <c r="A137" s="57"/>
      <c r="B137" s="9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ht="16.5" customHeight="1">
      <c r="A138" s="57"/>
      <c r="B138" s="9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ht="16.5" customHeight="1">
      <c r="A139" s="57"/>
      <c r="B139" s="9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ht="16.5" customHeight="1">
      <c r="A140" s="57"/>
      <c r="B140" s="9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ht="16.5" customHeight="1">
      <c r="A141" s="57"/>
      <c r="B141" s="9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ht="16.5" customHeight="1">
      <c r="A142" s="57"/>
      <c r="B142" s="9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ht="16.5" customHeight="1">
      <c r="A143" s="57"/>
      <c r="B143" s="9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ht="16.5" customHeight="1">
      <c r="A144" s="57"/>
      <c r="B144" s="9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ht="16.5" customHeight="1">
      <c r="A145" s="57"/>
      <c r="B145" s="9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ht="16.5" customHeight="1">
      <c r="A146" s="57"/>
      <c r="B146" s="9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ht="16.5" customHeight="1">
      <c r="A147" s="57"/>
      <c r="B147" s="9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ht="16.5" customHeight="1">
      <c r="A148" s="57"/>
      <c r="B148" s="9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ht="16.5" customHeight="1">
      <c r="A149" s="57"/>
      <c r="B149" s="9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ht="16.5" customHeight="1">
      <c r="A150" s="57"/>
      <c r="B150" s="9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ht="16.5" customHeight="1">
      <c r="A151" s="57"/>
      <c r="B151" s="9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ht="16.5" customHeight="1">
      <c r="A152" s="57"/>
      <c r="B152" s="9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ht="16.5" customHeight="1">
      <c r="A153" s="57"/>
      <c r="B153" s="9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ht="16.5" customHeight="1">
      <c r="A154" s="57"/>
      <c r="B154" s="90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ht="16.5" customHeight="1">
      <c r="A155" s="57"/>
      <c r="B155" s="9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ht="16.5" customHeight="1">
      <c r="A156" s="57"/>
      <c r="B156" s="9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ht="16.5" customHeight="1">
      <c r="A157" s="57"/>
      <c r="B157" s="9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ht="16.5" customHeight="1">
      <c r="A158" s="57"/>
      <c r="B158" s="9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ht="16.5" customHeight="1">
      <c r="A159" s="57"/>
      <c r="B159" s="9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ht="16.5" customHeight="1">
      <c r="A160" s="57"/>
      <c r="B160" s="9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ht="16.5" customHeight="1">
      <c r="A161" s="57"/>
      <c r="B161" s="9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ht="16.5" customHeight="1">
      <c r="A162" s="57"/>
      <c r="B162" s="9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ht="16.5" customHeight="1">
      <c r="A163" s="57"/>
      <c r="B163" s="9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ht="16.5" customHeight="1">
      <c r="A164" s="57"/>
      <c r="B164" s="9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ht="16.5" customHeight="1">
      <c r="A165" s="57"/>
      <c r="B165" s="9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ht="16.5" customHeight="1">
      <c r="A166" s="57"/>
      <c r="B166" s="9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ht="16.5" customHeight="1">
      <c r="A167" s="57"/>
      <c r="B167" s="9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ht="16.5" customHeight="1">
      <c r="A168" s="57"/>
      <c r="B168" s="9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ht="16.5" customHeight="1">
      <c r="A169" s="57"/>
      <c r="B169" s="9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ht="16.5" customHeight="1">
      <c r="A170" s="57"/>
      <c r="B170" s="9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ht="16.5" customHeight="1">
      <c r="A171" s="57"/>
      <c r="B171" s="9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ht="16.5" customHeight="1">
      <c r="A172" s="57"/>
      <c r="B172" s="9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ht="16.5" customHeight="1">
      <c r="A173" s="57"/>
      <c r="B173" s="9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ht="16.5" customHeight="1">
      <c r="A174" s="57"/>
      <c r="B174" s="9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ht="16.5" customHeight="1">
      <c r="A175" s="57"/>
      <c r="B175" s="9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ht="16.5" customHeight="1">
      <c r="A176" s="57"/>
      <c r="B176" s="9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ht="16.5" customHeight="1">
      <c r="A177" s="57"/>
      <c r="B177" s="9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ht="16.5" customHeight="1">
      <c r="A178" s="57"/>
      <c r="B178" s="9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ht="16.5" customHeight="1">
      <c r="A179" s="57"/>
      <c r="B179" s="9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ht="16.5" customHeight="1">
      <c r="A180" s="57"/>
      <c r="B180" s="9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ht="16.5" customHeight="1">
      <c r="A181" s="57"/>
      <c r="B181" s="9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ht="16.5" customHeight="1">
      <c r="A182" s="57"/>
      <c r="B182" s="9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ht="16.5" customHeight="1">
      <c r="A183" s="57"/>
      <c r="B183" s="9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ht="16.5" customHeight="1">
      <c r="A184" s="57"/>
      <c r="B184" s="9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ht="16.5" customHeight="1">
      <c r="A185" s="57"/>
      <c r="B185" s="9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ht="16.5" customHeight="1">
      <c r="A186" s="57"/>
      <c r="B186" s="9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ht="16.5" customHeight="1">
      <c r="A187" s="57"/>
      <c r="B187" s="9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ht="16.5" customHeight="1">
      <c r="A188" s="57"/>
      <c r="B188" s="9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ht="16.5" customHeight="1">
      <c r="A189" s="57"/>
      <c r="B189" s="9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ht="16.5" customHeight="1">
      <c r="A190" s="57"/>
      <c r="B190" s="9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ht="16.5" customHeight="1">
      <c r="A191" s="57"/>
      <c r="B191" s="9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ht="16.5" customHeight="1">
      <c r="A192" s="57"/>
      <c r="B192" s="9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ht="16.5" customHeight="1">
      <c r="A193" s="57"/>
      <c r="B193" s="9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ht="16.5" customHeight="1">
      <c r="B194" s="9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ht="16.5" customHeight="1">
      <c r="A195" s="57"/>
      <c r="B195" s="9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</sheetData>
  <mergeCells count="16">
    <mergeCell ref="L1:M1"/>
    <mergeCell ref="R1:S1"/>
    <mergeCell ref="U1:U2"/>
    <mergeCell ref="AI3:AI4"/>
    <mergeCell ref="A3:A4"/>
    <mergeCell ref="AB1:AB2"/>
    <mergeCell ref="AC1:AC2"/>
    <mergeCell ref="AD1:AD2"/>
    <mergeCell ref="AE1:AE2"/>
    <mergeCell ref="AF1:AF2"/>
    <mergeCell ref="P1:Q1"/>
    <mergeCell ref="V1:X1"/>
    <mergeCell ref="A7:A8"/>
    <mergeCell ref="N1:O1"/>
    <mergeCell ref="A5:A6"/>
    <mergeCell ref="G1:K1"/>
  </mergeCells>
  <phoneticPr fontId="1" type="noConversion"/>
  <hyperlinks>
    <hyperlink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.9990234375" defaultRowHeight="16.5" customHeight="1"/>
  <cols>
    <col min="1" max="1" width="10.5673828125" customWidth="1" style="101"/>
    <col min="2" max="2" width="7.828125" customWidth="1" style="101"/>
    <col min="3" max="3" width="19.037109375" customWidth="1" style="101"/>
    <col min="4" max="4" width="10.892578125" customWidth="1" style="101"/>
    <col min="5" max="5" width="41.607421875" customWidth="1" style="101"/>
    <col min="6" max="6" width="44.6982421875" customWidth="1" style="101"/>
    <col min="7" max="7" width="21.228515625" customWidth="1" style="101"/>
    <col min="8" max="8" width="25.0751953125" customWidth="1" style="92"/>
    <col min="9" max="9" width="84.7060546875" customWidth="1"/>
    <col min="10" max="10" width="15.205078125" customWidth="1"/>
  </cols>
  <sheetData>
    <row r="1" ht="16.5" customHeight="1">
      <c r="A1" s="120"/>
      <c r="B1" s="121"/>
      <c r="C1" s="121" t="s">
        <v>0</v>
      </c>
      <c r="D1" s="120"/>
      <c r="E1" s="120"/>
      <c r="F1" s="120"/>
      <c r="G1" s="120"/>
      <c r="H1" s="120" t="s">
        <v>122</v>
      </c>
      <c r="I1" s="120"/>
      <c r="J1" s="120"/>
    </row>
    <row r="2" ht="16.5" customHeight="1">
      <c r="A2" s="120" t="s">
        <v>15</v>
      </c>
      <c r="B2" s="121" t="s">
        <v>123</v>
      </c>
      <c r="C2" s="121" t="s">
        <v>16</v>
      </c>
      <c r="D2" s="120" t="s">
        <v>124</v>
      </c>
      <c r="E2" s="120" t="s">
        <v>17</v>
      </c>
      <c r="F2" s="120" t="s">
        <v>18</v>
      </c>
      <c r="G2" s="120" t="s">
        <v>125</v>
      </c>
      <c r="H2" s="120" t="s">
        <v>126</v>
      </c>
      <c r="I2" s="120" t="s">
        <v>127</v>
      </c>
      <c r="J2" s="120" t="s">
        <v>128</v>
      </c>
    </row>
    <row r="3" ht="26.25" customHeight="1">
      <c r="A3" s="123" t="s">
        <v>37</v>
      </c>
      <c r="B3" s="146" t="n">
        <v>0.3</v>
      </c>
      <c r="C3" s="124" t="s">
        <v>38</v>
      </c>
      <c r="D3" s="146" t="n">
        <v>0.1</v>
      </c>
      <c r="E3" s="124" t="s">
        <v>39</v>
      </c>
      <c r="F3" s="125" t="s">
        <v>40</v>
      </c>
      <c r="G3" s="125" t="s">
        <v>129</v>
      </c>
      <c r="H3" s="124" t="s">
        <v>130</v>
      </c>
      <c r="I3" s="129"/>
      <c r="J3" s="129" t="b">
        <v>0</v>
      </c>
    </row>
    <row r="4" ht="26.25" customHeight="1">
      <c r="A4" s="126"/>
      <c r="B4" s="160"/>
      <c r="C4" s="124" t="s">
        <v>54</v>
      </c>
      <c r="D4" s="146" t="n">
        <v>0.2</v>
      </c>
      <c r="E4" s="124" t="s">
        <v>55</v>
      </c>
      <c r="F4" s="125" t="s">
        <v>40</v>
      </c>
      <c r="G4" s="125" t="s">
        <v>131</v>
      </c>
      <c r="H4" s="161"/>
      <c r="I4" s="129"/>
      <c r="J4" s="129" t="b">
        <v>0</v>
      </c>
    </row>
    <row r="5" ht="64.5" customHeight="1">
      <c r="A5" s="123" t="s">
        <v>63</v>
      </c>
      <c r="B5" s="147" t="n">
        <v>0.3</v>
      </c>
      <c r="C5" s="129" t="s">
        <v>132</v>
      </c>
      <c r="D5" s="146" t="n">
        <v>0.2</v>
      </c>
      <c r="E5" s="94" t="s">
        <v>133</v>
      </c>
      <c r="F5" s="219" t="s">
        <v>134</v>
      </c>
      <c r="G5" s="124" t="s">
        <v>135</v>
      </c>
      <c r="H5" s="129" t="s">
        <v>136</v>
      </c>
      <c r="I5" s="220" t="s">
        <v>137</v>
      </c>
      <c r="J5" s="129" t="b">
        <v>0</v>
      </c>
    </row>
    <row r="6" ht="32.25" customHeight="1">
      <c r="A6" s="126"/>
      <c r="B6" s="160"/>
      <c r="C6" s="131" t="s">
        <v>138</v>
      </c>
      <c r="D6" s="146" t="n">
        <v>0.1</v>
      </c>
      <c r="E6" s="221" t="s">
        <v>139</v>
      </c>
      <c r="F6" s="132" t="s">
        <v>140</v>
      </c>
      <c r="G6" s="159" t="s">
        <v>141</v>
      </c>
      <c r="H6" s="159" t="s">
        <v>142</v>
      </c>
      <c r="I6" s="132" t="s">
        <v>143</v>
      </c>
      <c r="J6" s="132" t="b">
        <v>0</v>
      </c>
    </row>
    <row r="7" ht="58.5" customHeight="1">
      <c r="A7" s="130" t="s">
        <v>144</v>
      </c>
      <c r="B7" s="148" t="n">
        <v>0.3</v>
      </c>
      <c r="C7" s="131" t="s">
        <v>145</v>
      </c>
      <c r="D7" s="146" t="n">
        <v>0.15</v>
      </c>
      <c r="E7" s="94" t="s">
        <v>146</v>
      </c>
      <c r="F7" s="125" t="s">
        <v>147</v>
      </c>
      <c r="G7" s="125" t="n">
        <v>4</v>
      </c>
      <c r="H7" s="124" t="s">
        <v>148</v>
      </c>
      <c r="I7" s="129"/>
      <c r="J7" s="129" t="b">
        <v>0</v>
      </c>
    </row>
    <row r="8" ht="92.25" customHeight="1">
      <c r="A8" s="133"/>
      <c r="B8" s="160"/>
      <c r="C8" s="134" t="s">
        <v>149</v>
      </c>
      <c r="D8" s="148" t="n">
        <v>0.15</v>
      </c>
      <c r="E8" s="135" t="s">
        <v>150</v>
      </c>
      <c r="F8" s="222" t="s">
        <v>151</v>
      </c>
      <c r="G8" s="146" t="s">
        <v>152</v>
      </c>
      <c r="H8" s="124" t="s">
        <v>153</v>
      </c>
      <c r="I8" s="129"/>
      <c r="J8" s="129" t="b">
        <v>0</v>
      </c>
    </row>
    <row r="9" ht="26.25" customHeight="1">
      <c r="A9" s="123" t="s">
        <v>154</v>
      </c>
      <c r="B9" s="149" t="n">
        <v>0.1</v>
      </c>
      <c r="C9" s="131" t="s">
        <v>155</v>
      </c>
      <c r="D9" s="148" t="n">
        <v>0.1</v>
      </c>
      <c r="E9" s="135" t="s">
        <v>156</v>
      </c>
      <c r="F9" s="124" t="s">
        <v>157</v>
      </c>
      <c r="G9" s="146" t="n">
        <v>1</v>
      </c>
      <c r="H9" s="161" t="s">
        <v>158</v>
      </c>
      <c r="I9" s="129"/>
      <c r="J9" s="129" t="b">
        <v>0</v>
      </c>
      <c r="K9" s="138"/>
    </row>
    <row r="10" ht="16.5" customHeight="1">
      <c r="B10" s="106"/>
      <c r="C10" s="106"/>
    </row>
    <row r="11" ht="16.5" customHeight="1">
      <c r="B11" s="106"/>
      <c r="C11" s="106"/>
    </row>
    <row r="12" ht="16.5" customHeight="1">
      <c r="A12" s="107"/>
      <c r="B12" s="108"/>
      <c r="C12" s="108"/>
      <c r="D12" s="109"/>
      <c r="E12" s="109"/>
      <c r="F12" s="109"/>
      <c r="G12" s="109"/>
    </row>
    <row r="13" ht="0.9999999999999432" customHeight="1">
      <c r="A13" s="107"/>
      <c r="B13" s="108"/>
      <c r="C13" s="108"/>
      <c r="D13" s="109"/>
      <c r="E13" s="109"/>
      <c r="F13" s="109"/>
      <c r="G13" s="109"/>
    </row>
    <row r="14" ht="16.5" customHeight="1">
      <c r="A14" s="107"/>
      <c r="B14" s="108"/>
      <c r="C14" s="108"/>
      <c r="D14" s="109"/>
      <c r="E14" s="109"/>
      <c r="F14" s="109"/>
      <c r="G14" s="109"/>
    </row>
    <row r="15" ht="16.5" customHeight="1">
      <c r="A15" s="107"/>
      <c r="B15" s="108"/>
      <c r="C15" s="108"/>
      <c r="D15" s="109"/>
      <c r="E15" s="109"/>
      <c r="F15" s="109"/>
      <c r="G15" s="109"/>
    </row>
    <row r="16" ht="16.5" customHeight="1">
      <c r="A16" s="107"/>
      <c r="B16" s="108"/>
      <c r="C16" s="108"/>
      <c r="D16" s="109"/>
      <c r="E16" s="109"/>
      <c r="F16" s="109"/>
      <c r="G16" s="109"/>
    </row>
    <row r="17" ht="16.5" customHeight="1">
      <c r="A17" s="107"/>
      <c r="B17" s="108"/>
      <c r="C17" s="108"/>
      <c r="D17" s="109"/>
      <c r="E17" s="109"/>
      <c r="F17" s="109"/>
      <c r="G17" s="109"/>
    </row>
    <row r="18" ht="16.5" customHeight="1">
      <c r="A18" s="107"/>
      <c r="B18" s="108"/>
      <c r="C18" s="108"/>
      <c r="D18" s="109"/>
      <c r="E18" s="109"/>
      <c r="F18" s="109"/>
      <c r="G18" s="109"/>
    </row>
    <row r="19" ht="16.5" customHeight="1">
      <c r="A19" s="107"/>
      <c r="B19" s="108"/>
      <c r="C19" s="108"/>
      <c r="D19" s="109"/>
      <c r="E19" s="109"/>
      <c r="F19" s="109"/>
      <c r="G19" s="109"/>
    </row>
    <row r="20" ht="16.5" customHeight="1">
      <c r="A20" s="107"/>
      <c r="B20" s="108"/>
      <c r="C20" s="108"/>
      <c r="D20" s="109"/>
      <c r="E20" s="109"/>
      <c r="F20" s="109"/>
      <c r="G20" s="109"/>
    </row>
    <row r="21" ht="16.5" customHeight="1">
      <c r="A21" s="107"/>
      <c r="B21" s="108"/>
      <c r="C21" s="108"/>
      <c r="D21" s="109"/>
      <c r="E21" s="109"/>
      <c r="F21" s="109"/>
      <c r="G21" s="109"/>
    </row>
    <row r="22" ht="16.5" customHeight="1">
      <c r="A22" s="107"/>
      <c r="B22" s="108"/>
      <c r="C22" s="108"/>
      <c r="D22" s="109"/>
      <c r="E22" s="109"/>
      <c r="F22" s="109"/>
      <c r="G22" s="109"/>
    </row>
    <row r="23" ht="16.5" customHeight="1">
      <c r="A23" s="107"/>
      <c r="B23" s="108"/>
      <c r="C23" s="108"/>
      <c r="D23" s="109"/>
      <c r="E23" s="109"/>
      <c r="F23" s="109"/>
      <c r="G23" s="109"/>
    </row>
    <row r="24" ht="16.5" customHeight="1">
      <c r="A24" s="107"/>
      <c r="B24" s="108"/>
      <c r="C24" s="108"/>
      <c r="D24" s="109"/>
      <c r="E24" s="109"/>
      <c r="F24" s="109"/>
      <c r="G24" s="109"/>
    </row>
    <row r="25" ht="16.5" customHeight="1">
      <c r="A25" s="107"/>
      <c r="B25" s="108"/>
      <c r="C25" s="108"/>
      <c r="D25" s="109"/>
      <c r="E25" s="109"/>
      <c r="F25" s="109"/>
      <c r="G25" s="109"/>
    </row>
    <row r="26" ht="16.5" customHeight="1">
      <c r="A26" s="107"/>
      <c r="B26" s="108"/>
      <c r="C26" s="108"/>
      <c r="D26" s="109"/>
      <c r="E26" s="109"/>
      <c r="F26" s="109"/>
      <c r="G26" s="109"/>
    </row>
    <row r="27" ht="16.5" customHeight="1">
      <c r="A27" s="107"/>
      <c r="B27" s="108"/>
      <c r="C27" s="108"/>
      <c r="D27" s="109"/>
      <c r="E27" s="109"/>
      <c r="F27" s="109"/>
      <c r="G27" s="109"/>
    </row>
    <row r="28" ht="16.5" customHeight="1">
      <c r="A28" s="107"/>
      <c r="B28" s="108"/>
      <c r="C28" s="108"/>
      <c r="D28" s="109"/>
      <c r="E28" s="109"/>
      <c r="F28" s="109"/>
      <c r="G28" s="109"/>
    </row>
    <row r="29" ht="16.5" customHeight="1">
      <c r="A29" s="107"/>
      <c r="B29" s="108"/>
      <c r="C29" s="108"/>
      <c r="D29" s="109"/>
      <c r="E29" s="109"/>
      <c r="F29" s="109"/>
      <c r="G29" s="109"/>
    </row>
    <row r="30" ht="16.5" customHeight="1">
      <c r="A30" s="107"/>
      <c r="B30" s="108"/>
      <c r="C30" s="108"/>
      <c r="D30" s="109"/>
      <c r="E30" s="109"/>
      <c r="F30" s="109"/>
      <c r="G30" s="109"/>
    </row>
    <row r="31" ht="16.5" customHeight="1">
      <c r="A31" s="107"/>
      <c r="B31" s="108"/>
      <c r="C31" s="108"/>
      <c r="D31" s="109"/>
      <c r="E31" s="109"/>
      <c r="F31" s="109"/>
      <c r="G31" s="109"/>
    </row>
    <row r="32" ht="16.5" customHeight="1">
      <c r="A32" s="107"/>
      <c r="B32" s="108"/>
      <c r="C32" s="108"/>
      <c r="D32" s="109"/>
      <c r="E32" s="109"/>
      <c r="F32" s="109"/>
      <c r="G32" s="109"/>
    </row>
    <row r="33" ht="16.5" customHeight="1">
      <c r="A33" s="107"/>
      <c r="B33" s="108"/>
      <c r="C33" s="108"/>
      <c r="D33" s="109"/>
      <c r="E33" s="109"/>
      <c r="F33" s="109"/>
      <c r="G33" s="109"/>
    </row>
    <row r="34" ht="16.5" customHeight="1">
      <c r="A34" s="107"/>
      <c r="B34" s="108"/>
      <c r="C34" s="108"/>
      <c r="D34" s="109"/>
      <c r="E34" s="109"/>
      <c r="F34" s="109"/>
      <c r="G34" s="109"/>
    </row>
    <row r="35" ht="16.5" customHeight="1">
      <c r="A35" s="107"/>
      <c r="B35" s="108"/>
      <c r="C35" s="108"/>
      <c r="D35" s="109"/>
      <c r="E35" s="109"/>
      <c r="F35" s="109"/>
      <c r="G35" s="109"/>
    </row>
    <row r="36" ht="16.5" customHeight="1">
      <c r="A36" s="107"/>
      <c r="B36" s="108"/>
      <c r="C36" s="108"/>
      <c r="D36" s="109"/>
      <c r="E36" s="109"/>
      <c r="F36" s="109"/>
      <c r="G36" s="109"/>
    </row>
    <row r="37" ht="16.5" customHeight="1">
      <c r="A37" s="107"/>
      <c r="B37" s="108"/>
      <c r="C37" s="108"/>
      <c r="D37" s="109"/>
      <c r="E37" s="109"/>
      <c r="F37" s="109"/>
      <c r="G37" s="109"/>
    </row>
    <row r="38" ht="16.5" customHeight="1">
      <c r="A38" s="107"/>
      <c r="B38" s="108"/>
      <c r="C38" s="108"/>
      <c r="D38" s="109"/>
      <c r="E38" s="109"/>
      <c r="F38" s="109"/>
      <c r="G38" s="109"/>
    </row>
    <row r="39" ht="16.5" customHeight="1">
      <c r="A39" s="107"/>
      <c r="B39" s="108"/>
      <c r="C39" s="108"/>
      <c r="D39" s="109"/>
      <c r="E39" s="109"/>
      <c r="F39" s="109"/>
      <c r="G39" s="109"/>
    </row>
    <row r="40" ht="16.5" customHeight="1">
      <c r="A40" s="107"/>
      <c r="B40" s="108"/>
      <c r="C40" s="108"/>
      <c r="D40" s="109"/>
      <c r="E40" s="109"/>
      <c r="F40" s="109"/>
      <c r="G40" s="109"/>
    </row>
    <row r="41" ht="16.5" customHeight="1">
      <c r="A41" s="107"/>
      <c r="B41" s="108"/>
      <c r="C41" s="108"/>
      <c r="D41" s="109"/>
      <c r="E41" s="109"/>
      <c r="F41" s="109"/>
      <c r="G41" s="109"/>
    </row>
    <row r="42" ht="16.5" customHeight="1">
      <c r="A42" s="107"/>
      <c r="B42" s="108"/>
      <c r="C42" s="108"/>
      <c r="D42" s="109"/>
      <c r="E42" s="109"/>
      <c r="F42" s="109"/>
      <c r="G42" s="109"/>
    </row>
    <row r="43" ht="16.5" customHeight="1">
      <c r="A43" s="107"/>
      <c r="B43" s="108"/>
      <c r="C43" s="108"/>
      <c r="D43" s="109"/>
      <c r="E43" s="109"/>
      <c r="F43" s="109"/>
      <c r="G43" s="109"/>
    </row>
    <row r="44" ht="16.5" customHeight="1">
      <c r="A44" s="107"/>
      <c r="B44" s="108"/>
      <c r="C44" s="108"/>
      <c r="D44" s="109"/>
      <c r="E44" s="109"/>
      <c r="F44" s="109"/>
      <c r="G44" s="109"/>
    </row>
    <row r="45" ht="16.5" customHeight="1">
      <c r="A45" s="107"/>
      <c r="B45" s="108"/>
      <c r="C45" s="108"/>
      <c r="D45" s="109"/>
      <c r="E45" s="109"/>
      <c r="F45" s="109"/>
      <c r="G45" s="109"/>
    </row>
    <row r="46" ht="16.5" customHeight="1">
      <c r="A46" s="107"/>
      <c r="B46" s="108"/>
      <c r="C46" s="108"/>
      <c r="D46" s="109"/>
      <c r="E46" s="109"/>
      <c r="F46" s="109"/>
      <c r="G46" s="109"/>
    </row>
    <row r="47" ht="16.5" customHeight="1">
      <c r="A47" s="107"/>
      <c r="B47" s="108"/>
      <c r="C47" s="108"/>
      <c r="D47" s="109"/>
      <c r="E47" s="109"/>
      <c r="F47" s="109"/>
      <c r="G47" s="109"/>
    </row>
    <row r="48" ht="16.5" customHeight="1">
      <c r="A48" s="107"/>
      <c r="B48" s="108"/>
      <c r="C48" s="108"/>
      <c r="D48" s="109"/>
      <c r="E48" s="109"/>
      <c r="F48" s="109"/>
      <c r="G48" s="109"/>
    </row>
    <row r="49" ht="16.5" customHeight="1">
      <c r="A49" s="107"/>
      <c r="B49" s="108"/>
      <c r="C49" s="108"/>
      <c r="D49" s="109"/>
      <c r="E49" s="109"/>
      <c r="F49" s="109"/>
      <c r="G49" s="109"/>
    </row>
    <row r="50" ht="16.5" customHeight="1">
      <c r="A50" s="107"/>
      <c r="B50" s="108"/>
      <c r="C50" s="108"/>
      <c r="D50" s="109"/>
      <c r="E50" s="109"/>
      <c r="F50" s="109"/>
      <c r="G50" s="109"/>
    </row>
    <row r="51" ht="16.5" customHeight="1">
      <c r="A51" s="107"/>
      <c r="B51" s="108"/>
      <c r="C51" s="108"/>
      <c r="D51" s="109"/>
      <c r="E51" s="109"/>
      <c r="F51" s="109"/>
      <c r="G51" s="109"/>
    </row>
    <row r="52" ht="16.5" customHeight="1">
      <c r="A52" s="107"/>
      <c r="B52" s="108"/>
      <c r="C52" s="108"/>
      <c r="D52" s="109"/>
      <c r="E52" s="109"/>
      <c r="F52" s="109"/>
      <c r="G52" s="109"/>
    </row>
    <row r="53" ht="16.5" customHeight="1">
      <c r="A53" s="107"/>
      <c r="B53" s="108"/>
      <c r="C53" s="108"/>
      <c r="D53" s="109"/>
      <c r="E53" s="109"/>
      <c r="F53" s="109"/>
      <c r="G53" s="109"/>
    </row>
    <row r="54" ht="16.5" customHeight="1">
      <c r="A54" s="107"/>
      <c r="B54" s="108"/>
      <c r="C54" s="108"/>
      <c r="D54" s="109"/>
      <c r="E54" s="109"/>
      <c r="F54" s="109"/>
      <c r="G54" s="109"/>
    </row>
    <row r="55" ht="16.5" customHeight="1">
      <c r="A55" s="107"/>
      <c r="B55" s="108"/>
      <c r="C55" s="108"/>
      <c r="D55" s="109"/>
      <c r="E55" s="109"/>
      <c r="F55" s="109"/>
      <c r="G55" s="109"/>
    </row>
    <row r="56" ht="16.5" customHeight="1">
      <c r="A56" s="107"/>
      <c r="B56" s="108"/>
      <c r="C56" s="108"/>
      <c r="D56" s="109"/>
      <c r="E56" s="109"/>
      <c r="F56" s="109"/>
      <c r="G56" s="109"/>
    </row>
    <row r="57" ht="16.5" customHeight="1">
      <c r="A57" s="107"/>
      <c r="B57" s="108"/>
      <c r="C57" s="108"/>
      <c r="D57" s="109"/>
      <c r="E57" s="109"/>
      <c r="F57" s="109"/>
      <c r="G57" s="109"/>
    </row>
    <row r="58" ht="16.5" customHeight="1">
      <c r="A58" s="107"/>
      <c r="B58" s="108"/>
      <c r="C58" s="108"/>
      <c r="D58" s="109"/>
      <c r="E58" s="109"/>
      <c r="F58" s="109"/>
      <c r="G58" s="109"/>
    </row>
    <row r="59" ht="16.5" customHeight="1">
      <c r="A59" s="107"/>
      <c r="B59" s="108"/>
      <c r="C59" s="108"/>
      <c r="D59" s="109"/>
      <c r="E59" s="109"/>
      <c r="F59" s="109"/>
      <c r="G59" s="109"/>
    </row>
    <row r="60" ht="16.5" customHeight="1">
      <c r="A60" s="107"/>
      <c r="B60" s="108"/>
      <c r="C60" s="108"/>
      <c r="D60" s="109"/>
      <c r="E60" s="109"/>
      <c r="F60" s="109"/>
      <c r="G60" s="109"/>
    </row>
    <row r="61" ht="16.5" customHeight="1">
      <c r="A61" s="107"/>
      <c r="B61" s="108"/>
      <c r="C61" s="108"/>
      <c r="D61" s="109"/>
      <c r="E61" s="109"/>
      <c r="F61" s="109"/>
      <c r="G61" s="109"/>
    </row>
    <row r="62" ht="16.5" customHeight="1">
      <c r="A62" s="107"/>
      <c r="B62" s="108"/>
      <c r="C62" s="108"/>
      <c r="D62" s="109"/>
      <c r="E62" s="109"/>
      <c r="F62" s="109"/>
      <c r="G62" s="109"/>
    </row>
    <row r="63" ht="16.5" customHeight="1">
      <c r="A63" s="107"/>
      <c r="B63" s="108"/>
      <c r="C63" s="108"/>
      <c r="D63" s="109"/>
      <c r="E63" s="109"/>
      <c r="F63" s="109"/>
      <c r="G63" s="109"/>
    </row>
    <row r="64" ht="16.5" customHeight="1">
      <c r="A64" s="107"/>
      <c r="B64" s="108"/>
      <c r="C64" s="108"/>
      <c r="D64" s="109"/>
      <c r="E64" s="109"/>
      <c r="F64" s="109"/>
      <c r="G64" s="109"/>
    </row>
    <row r="65" ht="16.5" customHeight="1">
      <c r="A65" s="107"/>
      <c r="B65" s="108"/>
      <c r="C65" s="108"/>
      <c r="D65" s="109"/>
      <c r="E65" s="109"/>
      <c r="F65" s="109"/>
      <c r="G65" s="109"/>
    </row>
    <row r="66" ht="16.5" customHeight="1">
      <c r="A66" s="107"/>
      <c r="B66" s="108"/>
      <c r="C66" s="108"/>
      <c r="D66" s="109"/>
      <c r="E66" s="109"/>
      <c r="F66" s="109"/>
      <c r="G66" s="109"/>
    </row>
    <row r="67" ht="16.5" customHeight="1">
      <c r="A67" s="107"/>
      <c r="B67" s="108"/>
      <c r="C67" s="108"/>
      <c r="D67" s="109"/>
      <c r="E67" s="109"/>
      <c r="F67" s="109"/>
      <c r="G67" s="109"/>
    </row>
    <row r="68" ht="16.5" customHeight="1">
      <c r="A68" s="107"/>
      <c r="B68" s="108"/>
      <c r="C68" s="108"/>
      <c r="D68" s="109"/>
      <c r="E68" s="109"/>
      <c r="F68" s="109"/>
      <c r="G68" s="109"/>
    </row>
    <row r="69" ht="16.5" customHeight="1">
      <c r="A69" s="107"/>
      <c r="B69" s="108"/>
      <c r="C69" s="108"/>
      <c r="D69" s="109"/>
      <c r="E69" s="109"/>
      <c r="F69" s="109"/>
      <c r="G69" s="109"/>
    </row>
    <row r="70" ht="16.5" customHeight="1">
      <c r="A70" s="107"/>
      <c r="B70" s="108"/>
      <c r="C70" s="108"/>
      <c r="D70" s="109"/>
      <c r="E70" s="109"/>
      <c r="F70" s="109"/>
      <c r="G70" s="109"/>
    </row>
    <row r="71" ht="16.5" customHeight="1">
      <c r="A71" s="107"/>
      <c r="B71" s="108"/>
      <c r="C71" s="108"/>
      <c r="D71" s="109"/>
      <c r="E71" s="109"/>
      <c r="F71" s="109"/>
      <c r="G71" s="109"/>
    </row>
    <row r="72" ht="16.5" customHeight="1">
      <c r="A72" s="107"/>
      <c r="B72" s="108"/>
      <c r="C72" s="108"/>
      <c r="D72" s="109"/>
      <c r="E72" s="109"/>
      <c r="F72" s="109"/>
      <c r="G72" s="109"/>
    </row>
    <row r="73" ht="16.5" customHeight="1">
      <c r="A73" s="107"/>
      <c r="B73" s="108"/>
      <c r="C73" s="108"/>
      <c r="D73" s="109"/>
      <c r="E73" s="109"/>
      <c r="F73" s="109"/>
      <c r="G73" s="109"/>
    </row>
    <row r="74" ht="16.5" customHeight="1">
      <c r="A74" s="107"/>
      <c r="B74" s="108"/>
      <c r="C74" s="108"/>
      <c r="D74" s="109"/>
      <c r="E74" s="109"/>
      <c r="F74" s="109"/>
      <c r="G74" s="109"/>
    </row>
    <row r="75" ht="16.5" customHeight="1">
      <c r="A75" s="107"/>
      <c r="B75" s="108"/>
      <c r="C75" s="108"/>
      <c r="D75" s="109"/>
      <c r="E75" s="109"/>
      <c r="F75" s="109"/>
      <c r="G75" s="109"/>
    </row>
    <row r="76" ht="16.5" customHeight="1">
      <c r="A76" s="107"/>
      <c r="B76" s="108"/>
      <c r="C76" s="108"/>
      <c r="D76" s="109"/>
      <c r="E76" s="109"/>
      <c r="F76" s="109"/>
      <c r="G76" s="109"/>
    </row>
    <row r="77" ht="16.5" customHeight="1">
      <c r="A77" s="107"/>
      <c r="B77" s="108"/>
      <c r="C77" s="108"/>
      <c r="D77" s="109"/>
      <c r="E77" s="109"/>
      <c r="F77" s="109"/>
      <c r="G77" s="109"/>
    </row>
    <row r="78" ht="16.5" customHeight="1">
      <c r="A78" s="107"/>
      <c r="B78" s="108"/>
      <c r="C78" s="108"/>
      <c r="D78" s="109"/>
      <c r="E78" s="109"/>
      <c r="F78" s="109"/>
      <c r="G78" s="109"/>
    </row>
    <row r="79" ht="16.5" customHeight="1">
      <c r="A79" s="107"/>
      <c r="B79" s="108"/>
      <c r="C79" s="108"/>
      <c r="D79" s="109"/>
      <c r="E79" s="109"/>
      <c r="F79" s="109"/>
      <c r="G79" s="109"/>
    </row>
    <row r="80" ht="16.5" customHeight="1">
      <c r="A80" s="107"/>
      <c r="B80" s="108"/>
      <c r="C80" s="108"/>
      <c r="D80" s="109"/>
      <c r="E80" s="109"/>
      <c r="F80" s="109"/>
      <c r="G80" s="109"/>
    </row>
    <row r="81" ht="16.5" customHeight="1">
      <c r="A81" s="107"/>
      <c r="B81" s="108"/>
      <c r="C81" s="108"/>
      <c r="D81" s="109"/>
      <c r="E81" s="109"/>
      <c r="F81" s="109"/>
      <c r="G81" s="109"/>
    </row>
    <row r="82" ht="16.5" customHeight="1">
      <c r="A82" s="107"/>
      <c r="B82" s="108"/>
      <c r="C82" s="108"/>
      <c r="D82" s="109"/>
      <c r="E82" s="109"/>
      <c r="F82" s="109"/>
      <c r="G82" s="109"/>
    </row>
    <row r="83" ht="16.5" customHeight="1">
      <c r="A83" s="107"/>
      <c r="B83" s="108"/>
      <c r="C83" s="108"/>
      <c r="D83" s="109"/>
      <c r="E83" s="109"/>
      <c r="F83" s="109"/>
      <c r="G83" s="109"/>
    </row>
    <row r="84" ht="16.5" customHeight="1">
      <c r="A84" s="107"/>
      <c r="B84" s="108"/>
      <c r="C84" s="108"/>
      <c r="D84" s="109"/>
      <c r="E84" s="109"/>
      <c r="F84" s="109"/>
      <c r="G84" s="109"/>
    </row>
    <row r="85" ht="16.5" customHeight="1">
      <c r="A85" s="107"/>
      <c r="B85" s="108"/>
      <c r="C85" s="108"/>
      <c r="D85" s="109"/>
      <c r="E85" s="109"/>
      <c r="F85" s="109"/>
      <c r="G85" s="109"/>
    </row>
    <row r="86" ht="16.5" customHeight="1">
      <c r="A86" s="107"/>
      <c r="B86" s="108"/>
      <c r="C86" s="108"/>
      <c r="D86" s="109"/>
      <c r="E86" s="109"/>
      <c r="F86" s="109"/>
      <c r="G86" s="109"/>
    </row>
    <row r="87" ht="16.5" customHeight="1">
      <c r="A87" s="107"/>
      <c r="B87" s="108"/>
      <c r="C87" s="108"/>
      <c r="D87" s="109"/>
      <c r="E87" s="109"/>
      <c r="F87" s="109"/>
      <c r="G87" s="109"/>
    </row>
    <row r="88" ht="16.5" customHeight="1">
      <c r="A88" s="107"/>
      <c r="B88" s="108"/>
      <c r="C88" s="108"/>
      <c r="D88" s="109"/>
      <c r="E88" s="109"/>
      <c r="F88" s="109"/>
      <c r="G88" s="109"/>
    </row>
    <row r="89" ht="16.5" customHeight="1">
      <c r="A89" s="107"/>
      <c r="B89" s="108"/>
      <c r="C89" s="108"/>
      <c r="D89" s="109"/>
      <c r="E89" s="109"/>
      <c r="F89" s="109"/>
      <c r="G89" s="109"/>
    </row>
    <row r="90" ht="16.5" customHeight="1">
      <c r="A90" s="107"/>
      <c r="B90" s="108"/>
      <c r="C90" s="108"/>
      <c r="D90" s="109"/>
      <c r="E90" s="109"/>
      <c r="F90" s="109"/>
      <c r="G90" s="109"/>
    </row>
    <row r="91" ht="16.5" customHeight="1">
      <c r="A91" s="107"/>
      <c r="B91" s="108"/>
      <c r="C91" s="108"/>
      <c r="D91" s="109"/>
      <c r="E91" s="109"/>
      <c r="F91" s="109"/>
      <c r="G91" s="109"/>
    </row>
    <row r="92" ht="16.5" customHeight="1">
      <c r="A92" s="107"/>
      <c r="B92" s="108"/>
      <c r="C92" s="108"/>
      <c r="D92" s="109"/>
      <c r="E92" s="109"/>
      <c r="F92" s="109"/>
      <c r="G92" s="109"/>
    </row>
    <row r="93" ht="16.5" customHeight="1">
      <c r="A93" s="107"/>
      <c r="B93" s="108"/>
      <c r="C93" s="108"/>
      <c r="D93" s="109"/>
      <c r="E93" s="109"/>
      <c r="F93" s="109"/>
      <c r="G93" s="109"/>
    </row>
    <row r="94" ht="16.5" customHeight="1">
      <c r="A94" s="107"/>
      <c r="B94" s="108"/>
      <c r="C94" s="108"/>
      <c r="D94" s="109"/>
      <c r="E94" s="109"/>
      <c r="F94" s="109"/>
      <c r="G94" s="109"/>
    </row>
    <row r="95" ht="16.5" customHeight="1">
      <c r="A95" s="107"/>
      <c r="B95" s="108"/>
      <c r="C95" s="108"/>
      <c r="D95" s="109"/>
      <c r="E95" s="109"/>
      <c r="F95" s="109"/>
      <c r="G95" s="109"/>
    </row>
    <row r="96" ht="16.5" customHeight="1">
      <c r="A96" s="107"/>
      <c r="B96" s="108"/>
      <c r="C96" s="108"/>
      <c r="D96" s="109"/>
      <c r="E96" s="109"/>
      <c r="F96" s="109"/>
      <c r="G96" s="109"/>
    </row>
    <row r="97" ht="16.5" customHeight="1">
      <c r="A97" s="107"/>
      <c r="B97" s="108"/>
      <c r="C97" s="108"/>
      <c r="D97" s="109"/>
      <c r="E97" s="109"/>
      <c r="F97" s="109"/>
      <c r="G97" s="109"/>
    </row>
    <row r="98" ht="16.5" customHeight="1">
      <c r="A98" s="107"/>
      <c r="B98" s="108"/>
      <c r="C98" s="108"/>
      <c r="D98" s="109"/>
      <c r="E98" s="109"/>
      <c r="F98" s="109"/>
      <c r="G98" s="109"/>
    </row>
    <row r="99" ht="16.5" customHeight="1">
      <c r="A99" s="107"/>
      <c r="B99" s="108"/>
      <c r="C99" s="108"/>
      <c r="D99" s="109"/>
      <c r="E99" s="109"/>
      <c r="F99" s="109"/>
      <c r="G99" s="109"/>
    </row>
    <row r="100" ht="16.5" customHeight="1">
      <c r="A100" s="107"/>
      <c r="B100" s="108"/>
      <c r="C100" s="108"/>
      <c r="D100" s="109"/>
      <c r="E100" s="109"/>
      <c r="F100" s="109"/>
      <c r="G100" s="109"/>
    </row>
    <row r="101" ht="16.5" customHeight="1">
      <c r="A101" s="107"/>
      <c r="B101" s="108"/>
      <c r="C101" s="108"/>
      <c r="D101" s="109"/>
      <c r="E101" s="109"/>
      <c r="F101" s="109"/>
      <c r="G101" s="109"/>
    </row>
    <row r="102" ht="16.5" customHeight="1">
      <c r="A102" s="107"/>
      <c r="B102" s="108"/>
      <c r="C102" s="108"/>
      <c r="D102" s="109"/>
      <c r="E102" s="109"/>
      <c r="F102" s="109"/>
      <c r="G102" s="109"/>
    </row>
    <row r="103" ht="16.5" customHeight="1">
      <c r="A103" s="107"/>
      <c r="B103" s="108"/>
      <c r="C103" s="108"/>
      <c r="D103" s="109"/>
      <c r="E103" s="109"/>
      <c r="F103" s="109"/>
      <c r="G103" s="109"/>
    </row>
    <row r="104" ht="16.5" customHeight="1">
      <c r="A104" s="107"/>
      <c r="B104" s="108"/>
      <c r="C104" s="108"/>
      <c r="D104" s="109"/>
      <c r="E104" s="109"/>
      <c r="F104" s="109"/>
      <c r="G104" s="109"/>
    </row>
    <row r="105" ht="16.5" customHeight="1">
      <c r="A105" s="107"/>
      <c r="B105" s="108"/>
      <c r="C105" s="108"/>
      <c r="D105" s="109"/>
      <c r="E105" s="109"/>
      <c r="F105" s="109"/>
      <c r="G105" s="109"/>
    </row>
    <row r="106" ht="16.5" customHeight="1">
      <c r="A106" s="107"/>
      <c r="B106" s="108"/>
      <c r="C106" s="108"/>
      <c r="D106" s="109"/>
      <c r="E106" s="109"/>
      <c r="F106" s="109"/>
      <c r="G106" s="109"/>
    </row>
    <row r="107" ht="16.5" customHeight="1">
      <c r="A107" s="107"/>
      <c r="B107" s="108"/>
      <c r="C107" s="108"/>
      <c r="D107" s="109"/>
      <c r="E107" s="109"/>
      <c r="F107" s="109"/>
      <c r="G107" s="109"/>
    </row>
    <row r="108" ht="16.5" customHeight="1">
      <c r="A108" s="107"/>
      <c r="B108" s="108"/>
      <c r="C108" s="108"/>
      <c r="D108" s="109"/>
      <c r="E108" s="109"/>
      <c r="F108" s="109"/>
      <c r="G108" s="109"/>
    </row>
    <row r="109" ht="16.5" customHeight="1">
      <c r="A109" s="107"/>
      <c r="B109" s="108"/>
      <c r="C109" s="108"/>
      <c r="D109" s="109"/>
      <c r="E109" s="109"/>
      <c r="F109" s="109"/>
      <c r="G109" s="109"/>
    </row>
    <row r="110" ht="16.5" customHeight="1">
      <c r="A110" s="107"/>
      <c r="B110" s="108"/>
      <c r="C110" s="108"/>
      <c r="D110" s="109"/>
      <c r="E110" s="109"/>
      <c r="F110" s="109"/>
      <c r="G110" s="109"/>
    </row>
    <row r="111" ht="16.5" customHeight="1">
      <c r="A111" s="107"/>
      <c r="B111" s="108"/>
      <c r="C111" s="108"/>
      <c r="D111" s="109"/>
      <c r="E111" s="109"/>
      <c r="F111" s="109"/>
      <c r="G111" s="109"/>
    </row>
    <row r="112" ht="16.5" customHeight="1">
      <c r="A112" s="107"/>
      <c r="B112" s="108"/>
      <c r="C112" s="108"/>
      <c r="D112" s="109"/>
      <c r="E112" s="109"/>
      <c r="F112" s="109"/>
      <c r="G112" s="109"/>
    </row>
    <row r="113" ht="16.5" customHeight="1">
      <c r="A113" s="107"/>
      <c r="B113" s="108"/>
      <c r="C113" s="108"/>
      <c r="D113" s="109"/>
      <c r="E113" s="109"/>
      <c r="F113" s="109"/>
      <c r="G113" s="109"/>
    </row>
    <row r="114" ht="16.5" customHeight="1">
      <c r="A114" s="107"/>
      <c r="B114" s="108"/>
      <c r="C114" s="108"/>
      <c r="D114" s="109"/>
      <c r="E114" s="109"/>
      <c r="F114" s="109"/>
      <c r="G114" s="109"/>
    </row>
    <row r="115" ht="16.5" customHeight="1">
      <c r="A115" s="107"/>
      <c r="B115" s="108"/>
      <c r="C115" s="108"/>
      <c r="D115" s="109"/>
      <c r="E115" s="109"/>
      <c r="F115" s="109"/>
      <c r="G115" s="109"/>
    </row>
    <row r="116" ht="16.5" customHeight="1">
      <c r="A116" s="107"/>
      <c r="B116" s="108"/>
      <c r="C116" s="108"/>
      <c r="D116" s="109"/>
      <c r="E116" s="109"/>
      <c r="F116" s="109"/>
      <c r="G116" s="109"/>
    </row>
    <row r="117" ht="16.5" customHeight="1">
      <c r="A117" s="107"/>
      <c r="B117" s="108"/>
      <c r="C117" s="108"/>
      <c r="D117" s="109"/>
      <c r="E117" s="109"/>
      <c r="F117" s="109"/>
      <c r="G117" s="109"/>
    </row>
    <row r="118" ht="16.5" customHeight="1">
      <c r="A118" s="107"/>
      <c r="B118" s="108"/>
      <c r="C118" s="108"/>
      <c r="D118" s="109"/>
      <c r="E118" s="109"/>
      <c r="F118" s="109"/>
      <c r="G118" s="109"/>
    </row>
    <row r="119" ht="16.5" customHeight="1">
      <c r="A119" s="107"/>
      <c r="B119" s="108"/>
      <c r="C119" s="108"/>
      <c r="D119" s="109"/>
      <c r="E119" s="109"/>
      <c r="F119" s="109"/>
      <c r="G119" s="109"/>
    </row>
    <row r="120" ht="16.5" customHeight="1">
      <c r="A120" s="107"/>
      <c r="B120" s="108"/>
      <c r="C120" s="108"/>
      <c r="D120" s="109"/>
      <c r="E120" s="109"/>
      <c r="F120" s="109"/>
      <c r="G120" s="109"/>
    </row>
    <row r="121" ht="16.5" customHeight="1">
      <c r="A121" s="107"/>
      <c r="B121" s="108"/>
      <c r="C121" s="108"/>
      <c r="D121" s="109"/>
      <c r="E121" s="109"/>
      <c r="F121" s="109"/>
      <c r="G121" s="109"/>
    </row>
    <row r="122" ht="16.5" customHeight="1">
      <c r="A122" s="107"/>
      <c r="B122" s="108"/>
      <c r="C122" s="108"/>
      <c r="D122" s="109"/>
      <c r="E122" s="109"/>
      <c r="F122" s="109"/>
      <c r="G122" s="109"/>
    </row>
    <row r="123" ht="16.5" customHeight="1">
      <c r="A123" s="107"/>
      <c r="B123" s="108"/>
      <c r="C123" s="108"/>
      <c r="D123" s="109"/>
      <c r="E123" s="109"/>
      <c r="F123" s="109"/>
      <c r="G123" s="109"/>
    </row>
    <row r="124" ht="16.5" customHeight="1">
      <c r="A124" s="107"/>
      <c r="B124" s="108"/>
      <c r="C124" s="108"/>
      <c r="D124" s="109"/>
      <c r="E124" s="109"/>
      <c r="F124" s="109"/>
      <c r="G124" s="109"/>
    </row>
    <row r="125" ht="16.5" customHeight="1">
      <c r="A125" s="107"/>
      <c r="B125" s="108"/>
      <c r="C125" s="108"/>
      <c r="D125" s="109"/>
      <c r="E125" s="109"/>
      <c r="F125" s="109"/>
      <c r="G125" s="109"/>
    </row>
    <row r="126" ht="16.5" customHeight="1">
      <c r="A126" s="107"/>
      <c r="B126" s="108"/>
      <c r="C126" s="108"/>
      <c r="D126" s="109"/>
      <c r="E126" s="109"/>
      <c r="F126" s="109"/>
      <c r="G126" s="109"/>
    </row>
    <row r="127" ht="16.5" customHeight="1">
      <c r="A127" s="107"/>
      <c r="B127" s="108"/>
      <c r="C127" s="108"/>
      <c r="D127" s="109"/>
      <c r="E127" s="109"/>
      <c r="F127" s="109"/>
      <c r="G127" s="109"/>
    </row>
    <row r="128" ht="16.5" customHeight="1">
      <c r="A128" s="107"/>
      <c r="B128" s="108"/>
      <c r="C128" s="108"/>
      <c r="D128" s="109"/>
      <c r="E128" s="109"/>
      <c r="F128" s="109"/>
      <c r="G128" s="109"/>
    </row>
    <row r="129" ht="16.5" customHeight="1">
      <c r="A129" s="107"/>
      <c r="B129" s="108"/>
      <c r="C129" s="108"/>
      <c r="D129" s="109"/>
      <c r="E129" s="109"/>
      <c r="F129" s="109"/>
      <c r="G129" s="109"/>
    </row>
    <row r="130" ht="16.5" customHeight="1">
      <c r="A130" s="107"/>
      <c r="B130" s="108"/>
      <c r="C130" s="108"/>
      <c r="D130" s="109"/>
      <c r="E130" s="109"/>
      <c r="F130" s="109"/>
      <c r="G130" s="109"/>
    </row>
    <row r="131" ht="16.5" customHeight="1">
      <c r="A131" s="107"/>
      <c r="B131" s="108"/>
      <c r="C131" s="108"/>
      <c r="D131" s="109"/>
      <c r="E131" s="109"/>
      <c r="F131" s="109"/>
      <c r="G131" s="109"/>
    </row>
    <row r="132" ht="16.5" customHeight="1">
      <c r="A132" s="107"/>
      <c r="B132" s="108"/>
      <c r="C132" s="108"/>
      <c r="D132" s="109"/>
      <c r="E132" s="109"/>
      <c r="F132" s="109"/>
      <c r="G132" s="109"/>
    </row>
    <row r="133" ht="16.5" customHeight="1">
      <c r="A133" s="107"/>
      <c r="B133" s="108"/>
      <c r="C133" s="108"/>
      <c r="D133" s="109"/>
      <c r="E133" s="109"/>
      <c r="F133" s="109"/>
      <c r="G133" s="109"/>
    </row>
    <row r="134" ht="16.5" customHeight="1">
      <c r="A134" s="107"/>
      <c r="B134" s="108"/>
      <c r="C134" s="108"/>
      <c r="D134" s="109"/>
      <c r="E134" s="109"/>
      <c r="F134" s="109"/>
      <c r="G134" s="109"/>
    </row>
    <row r="135" ht="16.5" customHeight="1">
      <c r="A135" s="107"/>
      <c r="B135" s="108"/>
      <c r="C135" s="108"/>
      <c r="D135" s="109"/>
      <c r="E135" s="109"/>
      <c r="F135" s="109"/>
      <c r="G135" s="109"/>
    </row>
    <row r="136" ht="16.5" customHeight="1">
      <c r="A136" s="107"/>
      <c r="B136" s="108"/>
      <c r="C136" s="108"/>
      <c r="D136" s="109"/>
      <c r="E136" s="109"/>
      <c r="F136" s="109"/>
      <c r="G136" s="109"/>
    </row>
    <row r="137" ht="16.5" customHeight="1">
      <c r="A137" s="107"/>
      <c r="B137" s="108"/>
      <c r="C137" s="108"/>
      <c r="D137" s="109"/>
      <c r="E137" s="109"/>
      <c r="F137" s="109"/>
      <c r="G137" s="109"/>
    </row>
    <row r="138" ht="16.5" customHeight="1">
      <c r="A138" s="107"/>
      <c r="B138" s="108"/>
      <c r="C138" s="108"/>
      <c r="D138" s="109"/>
      <c r="E138" s="109"/>
      <c r="F138" s="109"/>
      <c r="G138" s="109"/>
    </row>
    <row r="139" ht="16.5" customHeight="1">
      <c r="A139" s="107"/>
      <c r="B139" s="108"/>
      <c r="C139" s="108"/>
      <c r="D139" s="109"/>
      <c r="E139" s="109"/>
      <c r="F139" s="109"/>
      <c r="G139" s="109"/>
    </row>
    <row r="140" ht="16.5" customHeight="1">
      <c r="A140" s="107"/>
      <c r="B140" s="108"/>
      <c r="C140" s="108"/>
      <c r="D140" s="109"/>
      <c r="E140" s="109"/>
      <c r="F140" s="109"/>
      <c r="G140" s="109"/>
    </row>
    <row r="141" ht="16.5" customHeight="1">
      <c r="A141" s="107"/>
      <c r="B141" s="108"/>
      <c r="C141" s="108"/>
      <c r="D141" s="109"/>
      <c r="E141" s="109"/>
      <c r="F141" s="109"/>
      <c r="G141" s="109"/>
    </row>
    <row r="142" ht="16.5" customHeight="1">
      <c r="A142" s="107"/>
      <c r="B142" s="108"/>
      <c r="C142" s="108"/>
      <c r="D142" s="109"/>
      <c r="E142" s="109"/>
      <c r="F142" s="109"/>
      <c r="G142" s="109"/>
    </row>
    <row r="143" ht="16.5" customHeight="1">
      <c r="A143" s="107"/>
      <c r="B143" s="108"/>
      <c r="C143" s="108"/>
      <c r="D143" s="109"/>
      <c r="E143" s="109"/>
      <c r="F143" s="109"/>
      <c r="G143" s="109"/>
    </row>
    <row r="144" ht="16.5" customHeight="1">
      <c r="A144" s="107"/>
      <c r="B144" s="108"/>
      <c r="C144" s="108"/>
      <c r="D144" s="109"/>
      <c r="E144" s="109"/>
      <c r="F144" s="109"/>
      <c r="G144" s="109"/>
    </row>
    <row r="145" ht="16.5" customHeight="1">
      <c r="A145" s="107"/>
      <c r="B145" s="108"/>
      <c r="C145" s="108"/>
      <c r="D145" s="109"/>
      <c r="E145" s="109"/>
      <c r="F145" s="109"/>
      <c r="G145" s="109"/>
    </row>
    <row r="146" ht="16.5" customHeight="1">
      <c r="A146" s="107"/>
      <c r="B146" s="108"/>
      <c r="C146" s="108"/>
      <c r="D146" s="109"/>
      <c r="E146" s="109"/>
      <c r="F146" s="109"/>
      <c r="G146" s="109"/>
    </row>
    <row r="147" ht="16.5" customHeight="1">
      <c r="A147" s="107"/>
      <c r="B147" s="108"/>
      <c r="C147" s="108"/>
      <c r="D147" s="109"/>
      <c r="E147" s="109"/>
      <c r="F147" s="109"/>
      <c r="G147" s="109"/>
    </row>
    <row r="148" ht="16.5" customHeight="1">
      <c r="A148" s="107"/>
      <c r="B148" s="108"/>
      <c r="C148" s="108"/>
      <c r="D148" s="109"/>
      <c r="E148" s="109"/>
      <c r="F148" s="109"/>
      <c r="G148" s="109"/>
    </row>
    <row r="149" ht="16.5" customHeight="1">
      <c r="A149" s="107"/>
      <c r="B149" s="108"/>
      <c r="C149" s="108"/>
      <c r="D149" s="109"/>
      <c r="E149" s="109"/>
      <c r="F149" s="109"/>
      <c r="G149" s="109"/>
    </row>
    <row r="150" ht="16.5" customHeight="1">
      <c r="A150" s="107"/>
      <c r="B150" s="108"/>
      <c r="C150" s="108"/>
      <c r="D150" s="109"/>
      <c r="E150" s="109"/>
      <c r="F150" s="109"/>
      <c r="G150" s="109"/>
    </row>
    <row r="151" ht="16.5" customHeight="1">
      <c r="A151" s="107"/>
      <c r="B151" s="108"/>
      <c r="C151" s="108"/>
      <c r="D151" s="109"/>
      <c r="E151" s="109"/>
      <c r="F151" s="109"/>
      <c r="G151" s="109"/>
    </row>
    <row r="152" ht="16.5" customHeight="1">
      <c r="A152" s="107"/>
      <c r="B152" s="108"/>
      <c r="C152" s="108"/>
      <c r="D152" s="109"/>
      <c r="E152" s="109"/>
      <c r="F152" s="109"/>
      <c r="G152" s="109"/>
    </row>
    <row r="153" ht="16.5" customHeight="1">
      <c r="A153" s="107"/>
      <c r="B153" s="108"/>
      <c r="C153" s="108"/>
      <c r="D153" s="109"/>
      <c r="E153" s="109"/>
      <c r="F153" s="109"/>
      <c r="G153" s="109"/>
    </row>
    <row r="154" ht="16.5" customHeight="1">
      <c r="A154" s="107"/>
      <c r="B154" s="108"/>
      <c r="C154" s="108"/>
      <c r="D154" s="109"/>
      <c r="E154" s="109"/>
      <c r="F154" s="109"/>
      <c r="G154" s="109"/>
    </row>
    <row r="155" ht="16.5" customHeight="1">
      <c r="A155" s="107"/>
      <c r="B155" s="108"/>
      <c r="C155" s="108"/>
      <c r="D155" s="109"/>
      <c r="E155" s="109"/>
      <c r="F155" s="109"/>
      <c r="G155" s="109"/>
    </row>
    <row r="156" ht="16.5" customHeight="1">
      <c r="A156" s="107"/>
      <c r="B156" s="108"/>
      <c r="C156" s="108"/>
      <c r="D156" s="109"/>
      <c r="E156" s="109"/>
      <c r="F156" s="109"/>
      <c r="G156" s="109"/>
    </row>
    <row r="157" ht="16.5" customHeight="1">
      <c r="A157" s="107"/>
      <c r="B157" s="108"/>
      <c r="C157" s="108"/>
      <c r="D157" s="109"/>
      <c r="E157" s="109"/>
      <c r="F157" s="109"/>
      <c r="G157" s="109"/>
    </row>
    <row r="158" ht="16.5" customHeight="1">
      <c r="A158" s="107"/>
      <c r="B158" s="108"/>
      <c r="C158" s="108"/>
      <c r="D158" s="109"/>
      <c r="E158" s="109"/>
      <c r="F158" s="109"/>
      <c r="G158" s="109"/>
    </row>
    <row r="159" ht="16.5" customHeight="1">
      <c r="A159" s="107"/>
      <c r="B159" s="108"/>
      <c r="C159" s="108"/>
      <c r="D159" s="109"/>
      <c r="E159" s="109"/>
      <c r="F159" s="109"/>
      <c r="G159" s="109"/>
    </row>
    <row r="160" ht="16.5" customHeight="1">
      <c r="A160" s="107"/>
      <c r="B160" s="108"/>
      <c r="C160" s="108"/>
      <c r="D160" s="109"/>
      <c r="E160" s="109"/>
      <c r="F160" s="109"/>
      <c r="G160" s="109"/>
    </row>
    <row r="161" ht="16.5" customHeight="1">
      <c r="A161" s="107"/>
      <c r="B161" s="108"/>
      <c r="C161" s="108"/>
      <c r="D161" s="109"/>
      <c r="E161" s="109"/>
      <c r="F161" s="109"/>
      <c r="G161" s="109"/>
    </row>
    <row r="162" ht="16.5" customHeight="1">
      <c r="A162" s="107"/>
      <c r="B162" s="108"/>
      <c r="C162" s="108"/>
      <c r="D162" s="109"/>
      <c r="E162" s="109"/>
      <c r="F162" s="109"/>
      <c r="G162" s="109"/>
    </row>
    <row r="163" ht="16.5" customHeight="1">
      <c r="A163" s="107"/>
      <c r="B163" s="108"/>
      <c r="C163" s="108"/>
      <c r="D163" s="109"/>
      <c r="E163" s="109"/>
      <c r="F163" s="109"/>
      <c r="G163" s="109"/>
    </row>
    <row r="164" ht="16.5" customHeight="1">
      <c r="A164" s="107"/>
      <c r="B164" s="108"/>
      <c r="C164" s="108"/>
      <c r="D164" s="109"/>
      <c r="E164" s="109"/>
      <c r="F164" s="109"/>
      <c r="G164" s="109"/>
    </row>
    <row r="165" ht="16.5" customHeight="1">
      <c r="A165" s="107"/>
      <c r="B165" s="108"/>
      <c r="C165" s="108"/>
      <c r="D165" s="109"/>
      <c r="E165" s="109"/>
      <c r="F165" s="109"/>
      <c r="G165" s="109"/>
    </row>
    <row r="166" ht="16.5" customHeight="1">
      <c r="A166" s="107"/>
      <c r="B166" s="108"/>
      <c r="C166" s="108"/>
      <c r="D166" s="109"/>
      <c r="E166" s="109"/>
      <c r="F166" s="109"/>
      <c r="G166" s="109"/>
    </row>
    <row r="167" ht="16.5" customHeight="1">
      <c r="A167" s="107"/>
      <c r="B167" s="108"/>
      <c r="C167" s="108"/>
      <c r="D167" s="109"/>
      <c r="E167" s="109"/>
      <c r="F167" s="109"/>
      <c r="G167" s="109"/>
    </row>
    <row r="168" ht="16.5" customHeight="1">
      <c r="A168" s="107"/>
      <c r="B168" s="108"/>
      <c r="C168" s="108"/>
      <c r="D168" s="109"/>
      <c r="E168" s="109"/>
      <c r="F168" s="109"/>
      <c r="G168" s="109"/>
    </row>
    <row r="169" ht="16.5" customHeight="1">
      <c r="A169" s="107"/>
      <c r="B169" s="108"/>
      <c r="C169" s="108"/>
      <c r="D169" s="109"/>
      <c r="E169" s="109"/>
      <c r="F169" s="109"/>
      <c r="G169" s="109"/>
    </row>
    <row r="170" ht="16.5" customHeight="1">
      <c r="A170" s="107"/>
      <c r="B170" s="108"/>
      <c r="C170" s="108"/>
      <c r="D170" s="109"/>
      <c r="E170" s="109"/>
      <c r="F170" s="109"/>
      <c r="G170" s="109"/>
    </row>
    <row r="171" ht="16.5" customHeight="1">
      <c r="A171" s="107"/>
      <c r="B171" s="108"/>
      <c r="C171" s="108"/>
      <c r="D171" s="109"/>
      <c r="E171" s="109"/>
      <c r="F171" s="109"/>
      <c r="G171" s="109"/>
    </row>
    <row r="172" ht="16.5" customHeight="1">
      <c r="A172" s="107"/>
      <c r="B172" s="108"/>
      <c r="C172" s="108"/>
      <c r="D172" s="109"/>
      <c r="E172" s="109"/>
      <c r="F172" s="109"/>
      <c r="G172" s="109"/>
    </row>
    <row r="173" ht="16.5" customHeight="1">
      <c r="A173" s="107"/>
      <c r="B173" s="108"/>
      <c r="C173" s="108"/>
      <c r="D173" s="109"/>
      <c r="E173" s="109"/>
      <c r="F173" s="109"/>
      <c r="G173" s="109"/>
    </row>
    <row r="174" ht="16.5" customHeight="1">
      <c r="A174" s="107"/>
      <c r="B174" s="108"/>
      <c r="C174" s="108"/>
      <c r="D174" s="109"/>
      <c r="E174" s="109"/>
      <c r="F174" s="109"/>
      <c r="G174" s="109"/>
    </row>
    <row r="175" ht="16.5" customHeight="1">
      <c r="A175" s="107"/>
      <c r="B175" s="108"/>
      <c r="C175" s="108"/>
      <c r="D175" s="109"/>
      <c r="E175" s="109"/>
      <c r="F175" s="109"/>
      <c r="G175" s="109"/>
    </row>
    <row r="176" ht="16.5" customHeight="1">
      <c r="A176" s="107"/>
      <c r="B176" s="108"/>
      <c r="C176" s="108"/>
      <c r="D176" s="109"/>
      <c r="E176" s="109"/>
      <c r="F176" s="109"/>
      <c r="G176" s="109"/>
    </row>
    <row r="177" ht="16.5" customHeight="1">
      <c r="A177" s="107"/>
      <c r="B177" s="108"/>
      <c r="C177" s="108"/>
      <c r="D177" s="109"/>
      <c r="E177" s="109"/>
      <c r="F177" s="109"/>
      <c r="G177" s="109"/>
    </row>
    <row r="178" ht="16.5" customHeight="1">
      <c r="A178" s="107"/>
      <c r="B178" s="108"/>
      <c r="C178" s="108"/>
      <c r="D178" s="109"/>
      <c r="E178" s="109"/>
      <c r="F178" s="109"/>
      <c r="G178" s="109"/>
    </row>
    <row r="179" ht="16.5" customHeight="1">
      <c r="A179" s="107"/>
      <c r="B179" s="108"/>
      <c r="C179" s="108"/>
      <c r="D179" s="109"/>
      <c r="E179" s="109"/>
      <c r="F179" s="109"/>
      <c r="G179" s="109"/>
    </row>
    <row r="180" ht="16.5" customHeight="1">
      <c r="A180" s="107"/>
      <c r="B180" s="108"/>
      <c r="C180" s="108"/>
      <c r="D180" s="109"/>
      <c r="E180" s="109"/>
      <c r="F180" s="109"/>
      <c r="G180" s="109"/>
    </row>
    <row r="181" ht="16.5" customHeight="1">
      <c r="A181" s="107"/>
      <c r="B181" s="108"/>
      <c r="C181" s="108"/>
      <c r="D181" s="109"/>
      <c r="E181" s="109"/>
      <c r="F181" s="109"/>
      <c r="G181" s="109"/>
    </row>
    <row r="182" ht="16.5" customHeight="1">
      <c r="A182" s="107"/>
      <c r="B182" s="108"/>
      <c r="C182" s="108"/>
      <c r="D182" s="109"/>
      <c r="E182" s="109"/>
      <c r="F182" s="109"/>
      <c r="G182" s="109"/>
    </row>
    <row r="183" ht="16.5" customHeight="1">
      <c r="A183" s="107"/>
      <c r="B183" s="108"/>
      <c r="C183" s="108"/>
      <c r="D183" s="109"/>
      <c r="E183" s="109"/>
      <c r="F183" s="109"/>
      <c r="G183" s="109"/>
    </row>
    <row r="184" ht="16.5" customHeight="1">
      <c r="A184" s="107"/>
      <c r="B184" s="108"/>
      <c r="C184" s="108"/>
      <c r="D184" s="109"/>
      <c r="E184" s="109"/>
      <c r="F184" s="109"/>
      <c r="G184" s="109"/>
    </row>
    <row r="185" ht="16.5" customHeight="1">
      <c r="A185" s="107"/>
      <c r="B185" s="108"/>
      <c r="C185" s="108"/>
      <c r="D185" s="109"/>
      <c r="E185" s="109"/>
      <c r="F185" s="109"/>
      <c r="G185" s="109"/>
    </row>
    <row r="186" ht="16.5" customHeight="1">
      <c r="A186" s="107"/>
      <c r="B186" s="108"/>
      <c r="C186" s="108"/>
      <c r="D186" s="109"/>
      <c r="E186" s="109"/>
      <c r="F186" s="109"/>
      <c r="G186" s="109"/>
    </row>
    <row r="187" ht="16.5" customHeight="1">
      <c r="A187" s="107"/>
      <c r="B187" s="108"/>
      <c r="C187" s="108"/>
      <c r="D187" s="109"/>
      <c r="E187" s="109"/>
      <c r="F187" s="109"/>
      <c r="G187" s="109"/>
    </row>
    <row r="188" ht="16.5" customHeight="1">
      <c r="A188" s="107"/>
      <c r="B188" s="108"/>
      <c r="C188" s="108"/>
      <c r="D188" s="109"/>
      <c r="E188" s="109"/>
      <c r="F188" s="109"/>
      <c r="G188" s="109"/>
    </row>
    <row r="189" ht="16.5" customHeight="1">
      <c r="A189" s="107"/>
      <c r="B189" s="108"/>
      <c r="C189" s="108"/>
      <c r="D189" s="109"/>
      <c r="E189" s="109"/>
      <c r="F189" s="109"/>
      <c r="G189" s="109"/>
    </row>
    <row r="190" ht="16.5" customHeight="1">
      <c r="A190" s="107"/>
      <c r="B190" s="108"/>
      <c r="C190" s="108"/>
      <c r="D190" s="109"/>
      <c r="E190" s="109"/>
      <c r="F190" s="109"/>
      <c r="G190" s="109"/>
    </row>
    <row r="191" ht="16.5" customHeight="1">
      <c r="A191" s="107"/>
      <c r="B191" s="108"/>
      <c r="C191" s="108"/>
      <c r="D191" s="109"/>
      <c r="E191" s="109"/>
      <c r="F191" s="109"/>
      <c r="G191" s="109"/>
    </row>
    <row r="192" ht="16.5" customHeight="1">
      <c r="A192" s="107"/>
      <c r="B192" s="108"/>
      <c r="C192" s="108"/>
      <c r="D192" s="109"/>
      <c r="E192" s="109"/>
      <c r="F192" s="109"/>
      <c r="G192" s="109"/>
    </row>
    <row r="193" ht="16.5" customHeight="1">
      <c r="A193" s="107"/>
      <c r="B193" s="108"/>
      <c r="C193" s="108"/>
      <c r="D193" s="109"/>
      <c r="E193" s="109"/>
      <c r="F193" s="109"/>
      <c r="G193" s="109"/>
    </row>
    <row r="194" ht="16.5" customHeight="1">
      <c r="A194" s="107"/>
      <c r="B194" s="108"/>
      <c r="C194" s="108"/>
      <c r="D194" s="109"/>
      <c r="E194" s="109"/>
      <c r="F194" s="109"/>
      <c r="G194" s="109"/>
    </row>
    <row r="195" ht="16.5" customHeight="1">
      <c r="B195" s="108"/>
      <c r="C195" s="108"/>
      <c r="D195" s="109"/>
      <c r="E195" s="109"/>
      <c r="F195" s="109"/>
      <c r="G195" s="109"/>
    </row>
    <row r="196" ht="16.5" customHeight="1">
      <c r="A196" s="107"/>
      <c r="B196" s="108"/>
      <c r="C196" s="108"/>
      <c r="D196" s="109"/>
      <c r="E196" s="109"/>
      <c r="F196" s="109"/>
      <c r="G196" s="109"/>
    </row>
  </sheetData>
  <mergeCells count="7">
    <mergeCell ref="A3:A4"/>
    <mergeCell ref="A7:A8"/>
    <mergeCell ref="A5:A6"/>
    <mergeCell ref="B3:B4"/>
    <mergeCell ref="B5:B6"/>
    <mergeCell ref="B7:B8"/>
    <mergeCell ref="H3:H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.9990234375" defaultRowHeight="16.5" customHeight="1"/>
  <cols>
    <col min="1" max="1" width="14.61328125" customWidth="1" style="101"/>
    <col min="2" max="2" width="9.017578125" customWidth="1" style="101"/>
    <col min="3" max="3" width="29.3935546875" customWidth="1" style="101"/>
    <col min="4" max="4" width="10.892578125" customWidth="1" style="101"/>
    <col min="5" max="5" width="43.4619140625" customWidth="1" style="101"/>
    <col min="6" max="7" width="14.2294921875" customWidth="1" style="101"/>
  </cols>
  <sheetData>
    <row r="1" ht="16.5" customHeight="1">
      <c r="A1" s="120"/>
      <c r="B1" s="121"/>
      <c r="C1" s="121" t="s">
        <v>0</v>
      </c>
      <c r="D1" s="120"/>
      <c r="E1" s="120"/>
      <c r="F1" s="120"/>
      <c r="G1" s="120"/>
    </row>
    <row r="2" ht="16.5" customHeight="1">
      <c r="A2" s="120" t="s">
        <v>15</v>
      </c>
      <c r="B2" s="121" t="s">
        <v>123</v>
      </c>
      <c r="C2" s="121" t="s">
        <v>16</v>
      </c>
      <c r="D2" s="120" t="s">
        <v>124</v>
      </c>
      <c r="E2" s="120" t="s">
        <v>17</v>
      </c>
      <c r="F2" s="120" t="s">
        <v>18</v>
      </c>
      <c r="G2" s="120" t="s">
        <v>125</v>
      </c>
    </row>
    <row r="3" ht="16.5" customHeight="1">
      <c r="A3" s="123" t="s">
        <v>37</v>
      </c>
      <c r="B3" s="146" t="n">
        <v>0.4</v>
      </c>
      <c r="C3" s="124" t="s">
        <v>159</v>
      </c>
      <c r="D3" s="146" t="n">
        <v>0.2</v>
      </c>
      <c r="E3" s="124" t="s">
        <v>160</v>
      </c>
      <c r="F3" s="125" t="s">
        <v>40</v>
      </c>
      <c r="G3" s="125" t="s">
        <v>161</v>
      </c>
    </row>
    <row r="4" ht="16.5" customHeight="1">
      <c r="A4" s="123" t="s">
        <v>63</v>
      </c>
      <c r="B4" s="147" t="n">
        <v>0.6</v>
      </c>
      <c r="C4" s="131" t="s">
        <v>162</v>
      </c>
      <c r="D4" s="146" t="n">
        <v>0.4</v>
      </c>
      <c r="E4" s="124" t="s">
        <v>163</v>
      </c>
      <c r="F4" s="124" t="s">
        <v>164</v>
      </c>
      <c r="G4" s="95" t="n">
        <v>0.5</v>
      </c>
    </row>
    <row r="5" ht="26.25" customHeight="1">
      <c r="A5" s="126"/>
      <c r="B5" s="117"/>
      <c r="C5" s="129" t="s">
        <v>165</v>
      </c>
      <c r="D5" s="146" t="n">
        <v>0.4</v>
      </c>
      <c r="E5" s="124" t="s">
        <v>166</v>
      </c>
      <c r="F5" s="124" t="s">
        <v>164</v>
      </c>
      <c r="G5" s="146" t="s">
        <v>167</v>
      </c>
    </row>
    <row r="6" ht="16.5" customHeight="1">
      <c r="B6" s="106"/>
      <c r="C6" s="106"/>
    </row>
    <row r="7" ht="16.5" customHeight="1">
      <c r="A7" s="107"/>
      <c r="B7" s="108"/>
      <c r="C7" s="108"/>
      <c r="D7" s="109"/>
      <c r="E7" s="109"/>
      <c r="F7" s="109"/>
      <c r="G7" s="109"/>
    </row>
    <row r="8" ht="16.5" customHeight="1">
      <c r="A8" s="107"/>
      <c r="B8" s="108"/>
      <c r="C8" s="108"/>
      <c r="D8" s="109"/>
      <c r="E8" s="109"/>
      <c r="F8" s="109"/>
      <c r="G8" s="109"/>
    </row>
    <row r="9" ht="16.5" customHeight="1">
      <c r="A9" s="107"/>
      <c r="B9" s="108"/>
      <c r="C9" s="108"/>
      <c r="D9" s="109"/>
      <c r="E9" s="109"/>
      <c r="F9" s="109"/>
      <c r="G9" s="109"/>
    </row>
    <row r="10" ht="16.5" customHeight="1">
      <c r="A10" s="107"/>
      <c r="B10" s="108"/>
      <c r="C10" s="108"/>
      <c r="D10" s="109"/>
      <c r="E10" s="109"/>
      <c r="F10" s="109"/>
      <c r="G10" s="109"/>
    </row>
    <row r="11" ht="16.5" customHeight="1">
      <c r="A11" s="107"/>
      <c r="B11" s="108"/>
      <c r="C11" s="108"/>
      <c r="D11" s="109"/>
      <c r="E11" s="109"/>
      <c r="F11" s="109"/>
      <c r="G11" s="109"/>
    </row>
    <row r="12" ht="16.5" customHeight="1">
      <c r="A12" s="107"/>
      <c r="B12" s="108"/>
      <c r="C12" s="108"/>
      <c r="D12" s="109"/>
      <c r="E12" s="109"/>
      <c r="F12" s="109"/>
      <c r="G12" s="109"/>
    </row>
    <row r="13" ht="16.5" customHeight="1">
      <c r="A13" s="107"/>
      <c r="B13" s="108"/>
      <c r="C13" s="108"/>
      <c r="D13" s="109"/>
      <c r="E13" s="109"/>
      <c r="F13" s="109"/>
      <c r="G13" s="109"/>
    </row>
    <row r="14" ht="16.5" customHeight="1">
      <c r="A14" s="107"/>
      <c r="B14" s="108"/>
      <c r="C14" s="108"/>
      <c r="D14" s="109"/>
      <c r="E14" s="109"/>
      <c r="F14" s="109"/>
      <c r="G14" s="109"/>
    </row>
    <row r="15" ht="16.5" customHeight="1">
      <c r="A15" s="107"/>
      <c r="B15" s="108"/>
      <c r="C15" s="108"/>
      <c r="D15" s="109"/>
      <c r="E15" s="109"/>
      <c r="F15" s="109"/>
      <c r="G15" s="109"/>
    </row>
    <row r="16" ht="16.5" customHeight="1">
      <c r="A16" s="107"/>
      <c r="B16" s="108"/>
      <c r="C16" s="108"/>
      <c r="D16" s="109"/>
      <c r="E16" s="109"/>
      <c r="F16" s="109"/>
      <c r="G16" s="109"/>
    </row>
    <row r="17" ht="16.5" customHeight="1">
      <c r="A17" s="107"/>
      <c r="B17" s="108"/>
      <c r="C17" s="108"/>
      <c r="D17" s="109"/>
      <c r="E17" s="109"/>
      <c r="F17" s="109"/>
      <c r="G17" s="109"/>
    </row>
    <row r="18" ht="16.5" customHeight="1">
      <c r="A18" s="107"/>
      <c r="B18" s="108"/>
      <c r="C18" s="108"/>
      <c r="D18" s="109"/>
      <c r="E18" s="109"/>
      <c r="F18" s="109"/>
      <c r="G18" s="109"/>
    </row>
    <row r="19" ht="16.5" customHeight="1">
      <c r="A19" s="107"/>
      <c r="B19" s="108"/>
      <c r="C19" s="108"/>
      <c r="D19" s="109"/>
      <c r="E19" s="109"/>
      <c r="F19" s="109"/>
      <c r="G19" s="109"/>
    </row>
    <row r="20" ht="16.5" customHeight="1">
      <c r="A20" s="107"/>
      <c r="B20" s="108"/>
      <c r="C20" s="108"/>
      <c r="D20" s="109"/>
      <c r="E20" s="109"/>
      <c r="F20" s="109"/>
      <c r="G20" s="109"/>
    </row>
    <row r="21" ht="16.5" customHeight="1">
      <c r="A21" s="107"/>
      <c r="B21" s="108"/>
      <c r="C21" s="108"/>
      <c r="D21" s="109"/>
      <c r="E21" s="109"/>
      <c r="F21" s="109"/>
      <c r="G21" s="109"/>
    </row>
    <row r="22" ht="16.5" customHeight="1">
      <c r="A22" s="107"/>
      <c r="B22" s="108"/>
      <c r="C22" s="108"/>
      <c r="D22" s="109"/>
      <c r="E22" s="109"/>
      <c r="F22" s="109"/>
      <c r="G22" s="109"/>
    </row>
    <row r="23" ht="16.5" customHeight="1">
      <c r="A23" s="107"/>
      <c r="B23" s="108"/>
      <c r="C23" s="108"/>
      <c r="D23" s="109"/>
      <c r="E23" s="109"/>
      <c r="F23" s="109"/>
      <c r="G23" s="109"/>
    </row>
    <row r="24" ht="16.5" customHeight="1">
      <c r="A24" s="107"/>
      <c r="B24" s="108"/>
      <c r="C24" s="108"/>
      <c r="D24" s="109"/>
      <c r="E24" s="109"/>
      <c r="F24" s="109"/>
      <c r="G24" s="109"/>
    </row>
    <row r="25" ht="16.5" customHeight="1">
      <c r="A25" s="107"/>
      <c r="B25" s="108"/>
      <c r="C25" s="108"/>
      <c r="D25" s="109"/>
      <c r="E25" s="109"/>
      <c r="F25" s="109"/>
      <c r="G25" s="109"/>
    </row>
    <row r="26" ht="16.5" customHeight="1">
      <c r="A26" s="107"/>
      <c r="B26" s="108"/>
      <c r="C26" s="108"/>
      <c r="D26" s="109"/>
      <c r="E26" s="109"/>
      <c r="F26" s="109"/>
      <c r="G26" s="109"/>
    </row>
    <row r="27" ht="16.5" customHeight="1">
      <c r="A27" s="107"/>
      <c r="B27" s="108"/>
      <c r="C27" s="108"/>
      <c r="D27" s="109"/>
      <c r="E27" s="109"/>
      <c r="F27" s="109"/>
      <c r="G27" s="109"/>
    </row>
    <row r="28" ht="16.5" customHeight="1">
      <c r="A28" s="107"/>
      <c r="B28" s="108"/>
      <c r="C28" s="108"/>
      <c r="D28" s="109"/>
      <c r="E28" s="109"/>
      <c r="F28" s="109"/>
      <c r="G28" s="109"/>
    </row>
    <row r="29" ht="16.5" customHeight="1">
      <c r="A29" s="107"/>
      <c r="B29" s="108"/>
      <c r="C29" s="108"/>
      <c r="D29" s="109"/>
      <c r="E29" s="109"/>
      <c r="F29" s="109"/>
      <c r="G29" s="109"/>
    </row>
    <row r="30" ht="16.5" customHeight="1">
      <c r="A30" s="107"/>
      <c r="B30" s="108"/>
      <c r="C30" s="108"/>
      <c r="D30" s="109"/>
      <c r="E30" s="109"/>
      <c r="F30" s="109"/>
      <c r="G30" s="109"/>
    </row>
    <row r="31" ht="16.5" customHeight="1">
      <c r="A31" s="107"/>
      <c r="B31" s="108"/>
      <c r="C31" s="108"/>
      <c r="D31" s="109"/>
      <c r="E31" s="109"/>
      <c r="F31" s="109"/>
      <c r="G31" s="109"/>
    </row>
    <row r="32" ht="16.5" customHeight="1">
      <c r="A32" s="107"/>
      <c r="B32" s="108"/>
      <c r="C32" s="108"/>
      <c r="D32" s="109"/>
      <c r="E32" s="109"/>
      <c r="F32" s="109"/>
      <c r="G32" s="109"/>
    </row>
    <row r="33" ht="16.5" customHeight="1">
      <c r="A33" s="107"/>
      <c r="B33" s="108"/>
      <c r="C33" s="108"/>
      <c r="D33" s="109"/>
      <c r="E33" s="109"/>
      <c r="F33" s="109"/>
      <c r="G33" s="109"/>
    </row>
    <row r="34" ht="16.5" customHeight="1">
      <c r="A34" s="107"/>
      <c r="B34" s="108"/>
      <c r="C34" s="108"/>
      <c r="D34" s="109"/>
      <c r="E34" s="109"/>
      <c r="F34" s="109"/>
      <c r="G34" s="109"/>
    </row>
    <row r="35" ht="16.5" customHeight="1">
      <c r="A35" s="107"/>
      <c r="B35" s="108"/>
      <c r="C35" s="108"/>
      <c r="D35" s="109"/>
      <c r="E35" s="109"/>
      <c r="F35" s="109"/>
      <c r="G35" s="109"/>
    </row>
    <row r="36" ht="16.5" customHeight="1">
      <c r="A36" s="107"/>
      <c r="B36" s="108"/>
      <c r="C36" s="108"/>
      <c r="D36" s="109"/>
      <c r="E36" s="109"/>
      <c r="F36" s="109"/>
      <c r="G36" s="109"/>
    </row>
    <row r="37" ht="16.5" customHeight="1">
      <c r="A37" s="107"/>
      <c r="B37" s="108"/>
      <c r="C37" s="108"/>
      <c r="D37" s="109"/>
      <c r="E37" s="109"/>
      <c r="F37" s="109"/>
      <c r="G37" s="109"/>
    </row>
    <row r="38" ht="16.5" customHeight="1">
      <c r="A38" s="107"/>
      <c r="B38" s="108"/>
      <c r="C38" s="108"/>
      <c r="D38" s="109"/>
      <c r="E38" s="109"/>
      <c r="F38" s="109"/>
      <c r="G38" s="109"/>
    </row>
    <row r="39" ht="16.5" customHeight="1">
      <c r="A39" s="107"/>
      <c r="B39" s="108"/>
      <c r="C39" s="108"/>
      <c r="D39" s="109"/>
      <c r="E39" s="109"/>
      <c r="F39" s="109"/>
      <c r="G39" s="109"/>
    </row>
    <row r="40" ht="16.5" customHeight="1">
      <c r="A40" s="107"/>
      <c r="B40" s="108"/>
      <c r="C40" s="108"/>
      <c r="D40" s="109"/>
      <c r="E40" s="109"/>
      <c r="F40" s="109"/>
      <c r="G40" s="109"/>
    </row>
    <row r="41" ht="16.5" customHeight="1">
      <c r="A41" s="107"/>
      <c r="B41" s="108"/>
      <c r="C41" s="108"/>
      <c r="D41" s="109"/>
      <c r="E41" s="109"/>
      <c r="F41" s="109"/>
      <c r="G41" s="109"/>
    </row>
    <row r="42" ht="16.5" customHeight="1">
      <c r="A42" s="107"/>
      <c r="B42" s="108"/>
      <c r="C42" s="108"/>
      <c r="D42" s="109"/>
      <c r="E42" s="109"/>
      <c r="F42" s="109"/>
      <c r="G42" s="109"/>
    </row>
    <row r="43" ht="16.5" customHeight="1">
      <c r="A43" s="107"/>
      <c r="B43" s="108"/>
      <c r="C43" s="108"/>
      <c r="D43" s="109"/>
      <c r="E43" s="109"/>
      <c r="F43" s="109"/>
      <c r="G43" s="109"/>
    </row>
    <row r="44" ht="16.5" customHeight="1">
      <c r="A44" s="107"/>
      <c r="B44" s="108"/>
      <c r="C44" s="108"/>
      <c r="D44" s="109"/>
      <c r="E44" s="109"/>
      <c r="F44" s="109"/>
      <c r="G44" s="109"/>
    </row>
    <row r="45" ht="16.5" customHeight="1">
      <c r="A45" s="107"/>
      <c r="B45" s="108"/>
      <c r="C45" s="108"/>
      <c r="D45" s="109"/>
      <c r="E45" s="109"/>
      <c r="F45" s="109"/>
      <c r="G45" s="109"/>
    </row>
    <row r="46" ht="16.5" customHeight="1">
      <c r="A46" s="107"/>
      <c r="B46" s="108"/>
      <c r="C46" s="108"/>
      <c r="D46" s="109"/>
      <c r="E46" s="109"/>
      <c r="F46" s="109"/>
      <c r="G46" s="109"/>
    </row>
    <row r="47" ht="16.5" customHeight="1">
      <c r="A47" s="107"/>
      <c r="B47" s="108"/>
      <c r="C47" s="108"/>
      <c r="D47" s="109"/>
      <c r="E47" s="109"/>
      <c r="F47" s="109"/>
      <c r="G47" s="109"/>
    </row>
    <row r="48" ht="16.5" customHeight="1">
      <c r="A48" s="107"/>
      <c r="B48" s="108"/>
      <c r="C48" s="108"/>
      <c r="D48" s="109"/>
      <c r="E48" s="109"/>
      <c r="F48" s="109"/>
      <c r="G48" s="109"/>
    </row>
    <row r="49" ht="16.5" customHeight="1">
      <c r="A49" s="107"/>
      <c r="B49" s="108"/>
      <c r="C49" s="108"/>
      <c r="D49" s="109"/>
      <c r="E49" s="109"/>
      <c r="F49" s="109"/>
      <c r="G49" s="109"/>
    </row>
    <row r="50" ht="16.5" customHeight="1">
      <c r="A50" s="107"/>
      <c r="B50" s="108"/>
      <c r="C50" s="108"/>
      <c r="D50" s="109"/>
      <c r="E50" s="109"/>
      <c r="F50" s="109"/>
      <c r="G50" s="109"/>
    </row>
    <row r="51" ht="16.5" customHeight="1">
      <c r="A51" s="107"/>
      <c r="B51" s="108"/>
      <c r="C51" s="108"/>
      <c r="D51" s="109"/>
      <c r="E51" s="109"/>
      <c r="F51" s="109"/>
      <c r="G51" s="109"/>
    </row>
    <row r="52" ht="16.5" customHeight="1">
      <c r="A52" s="107"/>
      <c r="B52" s="108"/>
      <c r="C52" s="108"/>
      <c r="D52" s="109"/>
      <c r="E52" s="109"/>
      <c r="F52" s="109"/>
      <c r="G52" s="109"/>
    </row>
    <row r="53" ht="16.5" customHeight="1">
      <c r="A53" s="107"/>
      <c r="B53" s="108"/>
      <c r="C53" s="108"/>
      <c r="D53" s="109"/>
      <c r="E53" s="109"/>
      <c r="F53" s="109"/>
      <c r="G53" s="109"/>
    </row>
    <row r="54" ht="16.5" customHeight="1">
      <c r="A54" s="107"/>
      <c r="B54" s="108"/>
      <c r="C54" s="108"/>
      <c r="D54" s="109"/>
      <c r="E54" s="109"/>
      <c r="F54" s="109"/>
      <c r="G54" s="109"/>
    </row>
    <row r="55" ht="16.5" customHeight="1">
      <c r="A55" s="107"/>
      <c r="B55" s="108"/>
      <c r="C55" s="108"/>
      <c r="D55" s="109"/>
      <c r="E55" s="109"/>
      <c r="F55" s="109"/>
      <c r="G55" s="109"/>
    </row>
    <row r="56" ht="16.5" customHeight="1">
      <c r="A56" s="107"/>
      <c r="B56" s="108"/>
      <c r="C56" s="108"/>
      <c r="D56" s="109"/>
      <c r="E56" s="109"/>
      <c r="F56" s="109"/>
      <c r="G56" s="109"/>
    </row>
    <row r="57" ht="16.5" customHeight="1">
      <c r="A57" s="107"/>
      <c r="B57" s="108"/>
      <c r="C57" s="108"/>
      <c r="D57" s="109"/>
      <c r="E57" s="109"/>
      <c r="F57" s="109"/>
      <c r="G57" s="109"/>
    </row>
    <row r="58" ht="16.5" customHeight="1">
      <c r="A58" s="107"/>
      <c r="B58" s="108"/>
      <c r="C58" s="108"/>
      <c r="D58" s="109"/>
      <c r="E58" s="109"/>
      <c r="F58" s="109"/>
      <c r="G58" s="109"/>
    </row>
    <row r="59" ht="16.5" customHeight="1">
      <c r="A59" s="107"/>
      <c r="B59" s="108"/>
      <c r="C59" s="108"/>
      <c r="D59" s="109"/>
      <c r="E59" s="109"/>
      <c r="F59" s="109"/>
      <c r="G59" s="109"/>
    </row>
    <row r="60" ht="16.5" customHeight="1">
      <c r="A60" s="107"/>
      <c r="B60" s="108"/>
      <c r="C60" s="108"/>
      <c r="D60" s="109"/>
      <c r="E60" s="109"/>
      <c r="F60" s="109"/>
      <c r="G60" s="109"/>
    </row>
    <row r="61" ht="16.5" customHeight="1">
      <c r="A61" s="107"/>
      <c r="B61" s="108"/>
      <c r="C61" s="108"/>
      <c r="D61" s="109"/>
      <c r="E61" s="109"/>
      <c r="F61" s="109"/>
      <c r="G61" s="109"/>
    </row>
    <row r="62" ht="16.5" customHeight="1">
      <c r="A62" s="107"/>
      <c r="B62" s="108"/>
      <c r="C62" s="108"/>
      <c r="D62" s="109"/>
      <c r="E62" s="109"/>
      <c r="F62" s="109"/>
      <c r="G62" s="109"/>
    </row>
    <row r="63" ht="16.5" customHeight="1">
      <c r="A63" s="107"/>
      <c r="B63" s="108"/>
      <c r="C63" s="108"/>
      <c r="D63" s="109"/>
      <c r="E63" s="109"/>
      <c r="F63" s="109"/>
      <c r="G63" s="109"/>
    </row>
    <row r="64" ht="16.5" customHeight="1">
      <c r="A64" s="107"/>
      <c r="B64" s="108"/>
      <c r="C64" s="108"/>
      <c r="D64" s="109"/>
      <c r="E64" s="109"/>
      <c r="F64" s="109"/>
      <c r="G64" s="109"/>
    </row>
    <row r="65" ht="16.5" customHeight="1">
      <c r="A65" s="107"/>
      <c r="B65" s="108"/>
      <c r="C65" s="108"/>
      <c r="D65" s="109"/>
      <c r="E65" s="109"/>
      <c r="F65" s="109"/>
      <c r="G65" s="109"/>
    </row>
    <row r="66" ht="16.5" customHeight="1">
      <c r="A66" s="107"/>
      <c r="B66" s="108"/>
      <c r="C66" s="108"/>
      <c r="D66" s="109"/>
      <c r="E66" s="109"/>
      <c r="F66" s="109"/>
      <c r="G66" s="109"/>
    </row>
    <row r="67" ht="16.5" customHeight="1">
      <c r="A67" s="107"/>
      <c r="B67" s="108"/>
      <c r="C67" s="108"/>
      <c r="D67" s="109"/>
      <c r="E67" s="109"/>
      <c r="F67" s="109"/>
      <c r="G67" s="109"/>
    </row>
    <row r="68" ht="16.5" customHeight="1">
      <c r="A68" s="107"/>
      <c r="B68" s="108"/>
      <c r="C68" s="108"/>
      <c r="D68" s="109"/>
      <c r="E68" s="109"/>
      <c r="F68" s="109"/>
      <c r="G68" s="109"/>
    </row>
    <row r="69" ht="16.5" customHeight="1">
      <c r="A69" s="107"/>
      <c r="B69" s="108"/>
      <c r="C69" s="108"/>
      <c r="D69" s="109"/>
      <c r="E69" s="109"/>
      <c r="F69" s="109"/>
      <c r="G69" s="109"/>
    </row>
    <row r="70" ht="16.5" customHeight="1">
      <c r="A70" s="107"/>
      <c r="B70" s="108"/>
      <c r="C70" s="108"/>
      <c r="D70" s="109"/>
      <c r="E70" s="109"/>
      <c r="F70" s="109"/>
      <c r="G70" s="109"/>
    </row>
    <row r="71" ht="16.5" customHeight="1">
      <c r="A71" s="107"/>
      <c r="B71" s="108"/>
      <c r="C71" s="108"/>
      <c r="D71" s="109"/>
      <c r="E71" s="109"/>
      <c r="F71" s="109"/>
      <c r="G71" s="109"/>
    </row>
    <row r="72" ht="16.5" customHeight="1">
      <c r="A72" s="107"/>
      <c r="B72" s="108"/>
      <c r="C72" s="108"/>
      <c r="D72" s="109"/>
      <c r="E72" s="109"/>
      <c r="F72" s="109"/>
      <c r="G72" s="109"/>
    </row>
    <row r="73" ht="16.5" customHeight="1">
      <c r="A73" s="107"/>
      <c r="B73" s="108"/>
      <c r="C73" s="108"/>
      <c r="D73" s="109"/>
      <c r="E73" s="109"/>
      <c r="F73" s="109"/>
      <c r="G73" s="109"/>
    </row>
    <row r="74" ht="16.5" customHeight="1">
      <c r="A74" s="107"/>
      <c r="B74" s="108"/>
      <c r="C74" s="108"/>
      <c r="D74" s="109"/>
      <c r="E74" s="109"/>
      <c r="F74" s="109"/>
      <c r="G74" s="109"/>
    </row>
    <row r="75" ht="16.5" customHeight="1">
      <c r="A75" s="107"/>
      <c r="B75" s="108"/>
      <c r="C75" s="108"/>
      <c r="D75" s="109"/>
      <c r="E75" s="109"/>
      <c r="F75" s="109"/>
      <c r="G75" s="109"/>
    </row>
    <row r="76" ht="16.5" customHeight="1">
      <c r="A76" s="107"/>
      <c r="B76" s="108"/>
      <c r="C76" s="108"/>
      <c r="D76" s="109"/>
      <c r="E76" s="109"/>
      <c r="F76" s="109"/>
      <c r="G76" s="109"/>
    </row>
    <row r="77" ht="16.5" customHeight="1">
      <c r="A77" s="107"/>
      <c r="B77" s="108"/>
      <c r="C77" s="108"/>
      <c r="D77" s="109"/>
      <c r="E77" s="109"/>
      <c r="F77" s="109"/>
      <c r="G77" s="109"/>
    </row>
    <row r="78" ht="16.5" customHeight="1">
      <c r="A78" s="107"/>
      <c r="B78" s="108"/>
      <c r="C78" s="108"/>
      <c r="D78" s="109"/>
      <c r="E78" s="109"/>
      <c r="F78" s="109"/>
      <c r="G78" s="109"/>
    </row>
    <row r="79" ht="16.5" customHeight="1">
      <c r="A79" s="107"/>
      <c r="B79" s="108"/>
      <c r="C79" s="108"/>
      <c r="D79" s="109"/>
      <c r="E79" s="109"/>
      <c r="F79" s="109"/>
      <c r="G79" s="109"/>
    </row>
    <row r="80" ht="16.5" customHeight="1">
      <c r="A80" s="107"/>
      <c r="B80" s="108"/>
      <c r="C80" s="108"/>
      <c r="D80" s="109"/>
      <c r="E80" s="109"/>
      <c r="F80" s="109"/>
      <c r="G80" s="109"/>
    </row>
    <row r="81" ht="16.5" customHeight="1">
      <c r="A81" s="107"/>
      <c r="B81" s="108"/>
      <c r="C81" s="108"/>
      <c r="D81" s="109"/>
      <c r="E81" s="109"/>
      <c r="F81" s="109"/>
      <c r="G81" s="109"/>
    </row>
    <row r="82" ht="16.5" customHeight="1">
      <c r="A82" s="107"/>
      <c r="B82" s="108"/>
      <c r="C82" s="108"/>
      <c r="D82" s="109"/>
      <c r="E82" s="109"/>
      <c r="F82" s="109"/>
      <c r="G82" s="109"/>
    </row>
    <row r="83" ht="16.5" customHeight="1">
      <c r="A83" s="107"/>
      <c r="B83" s="108"/>
      <c r="C83" s="108"/>
      <c r="D83" s="109"/>
      <c r="E83" s="109"/>
      <c r="F83" s="109"/>
      <c r="G83" s="109"/>
    </row>
    <row r="84" ht="16.5" customHeight="1">
      <c r="A84" s="107"/>
      <c r="B84" s="108"/>
      <c r="C84" s="108"/>
      <c r="D84" s="109"/>
      <c r="E84" s="109"/>
      <c r="F84" s="109"/>
      <c r="G84" s="109"/>
    </row>
    <row r="85" ht="16.5" customHeight="1">
      <c r="A85" s="107"/>
      <c r="B85" s="108"/>
      <c r="C85" s="108"/>
      <c r="D85" s="109"/>
      <c r="E85" s="109"/>
      <c r="F85" s="109"/>
      <c r="G85" s="109"/>
    </row>
    <row r="86" ht="16.5" customHeight="1">
      <c r="A86" s="107"/>
      <c r="B86" s="108"/>
      <c r="C86" s="108"/>
      <c r="D86" s="109"/>
      <c r="E86" s="109"/>
      <c r="F86" s="109"/>
      <c r="G86" s="109"/>
    </row>
    <row r="87" ht="16.5" customHeight="1">
      <c r="A87" s="107"/>
      <c r="B87" s="108"/>
      <c r="C87" s="108"/>
      <c r="D87" s="109"/>
      <c r="E87" s="109"/>
      <c r="F87" s="109"/>
      <c r="G87" s="109"/>
    </row>
    <row r="88" ht="16.5" customHeight="1">
      <c r="A88" s="107"/>
      <c r="B88" s="108"/>
      <c r="C88" s="108"/>
      <c r="D88" s="109"/>
      <c r="E88" s="109"/>
      <c r="F88" s="109"/>
      <c r="G88" s="109"/>
    </row>
    <row r="89" ht="16.5" customHeight="1">
      <c r="A89" s="107"/>
      <c r="B89" s="108"/>
      <c r="C89" s="108"/>
      <c r="D89" s="109"/>
      <c r="E89" s="109"/>
      <c r="F89" s="109"/>
      <c r="G89" s="109"/>
    </row>
    <row r="90" ht="16.5" customHeight="1">
      <c r="A90" s="107"/>
      <c r="B90" s="108"/>
      <c r="C90" s="108"/>
      <c r="D90" s="109"/>
      <c r="E90" s="109"/>
      <c r="F90" s="109"/>
      <c r="G90" s="109"/>
    </row>
    <row r="91" ht="16.5" customHeight="1">
      <c r="A91" s="107"/>
      <c r="B91" s="108"/>
      <c r="C91" s="108"/>
      <c r="D91" s="109"/>
      <c r="E91" s="109"/>
      <c r="F91" s="109"/>
      <c r="G91" s="109"/>
    </row>
    <row r="92" ht="16.5" customHeight="1">
      <c r="A92" s="107"/>
      <c r="B92" s="108"/>
      <c r="C92" s="108"/>
      <c r="D92" s="109"/>
      <c r="E92" s="109"/>
      <c r="F92" s="109"/>
      <c r="G92" s="109"/>
    </row>
    <row r="93" ht="16.5" customHeight="1">
      <c r="A93" s="107"/>
      <c r="B93" s="108"/>
      <c r="C93" s="108"/>
      <c r="D93" s="109"/>
      <c r="E93" s="109"/>
      <c r="F93" s="109"/>
      <c r="G93" s="109"/>
    </row>
    <row r="94" ht="16.5" customHeight="1">
      <c r="A94" s="107"/>
      <c r="B94" s="108"/>
      <c r="C94" s="108"/>
      <c r="D94" s="109"/>
      <c r="E94" s="109"/>
      <c r="F94" s="109"/>
      <c r="G94" s="109"/>
    </row>
    <row r="95" ht="16.5" customHeight="1">
      <c r="A95" s="107"/>
      <c r="B95" s="108"/>
      <c r="C95" s="108"/>
      <c r="D95" s="109"/>
      <c r="E95" s="109"/>
      <c r="F95" s="109"/>
      <c r="G95" s="109"/>
    </row>
    <row r="96" ht="16.5" customHeight="1">
      <c r="A96" s="107"/>
      <c r="B96" s="108"/>
      <c r="C96" s="108"/>
      <c r="D96" s="109"/>
      <c r="E96" s="109"/>
      <c r="F96" s="109"/>
      <c r="G96" s="109"/>
    </row>
    <row r="97" ht="16.5" customHeight="1">
      <c r="A97" s="107"/>
      <c r="B97" s="108"/>
      <c r="C97" s="108"/>
      <c r="D97" s="109"/>
      <c r="E97" s="109"/>
      <c r="F97" s="109"/>
      <c r="G97" s="109"/>
    </row>
    <row r="98" ht="16.5" customHeight="1">
      <c r="A98" s="107"/>
      <c r="B98" s="108"/>
      <c r="C98" s="108"/>
      <c r="D98" s="109"/>
      <c r="E98" s="109"/>
      <c r="F98" s="109"/>
      <c r="G98" s="109"/>
    </row>
    <row r="99" ht="16.5" customHeight="1">
      <c r="A99" s="107"/>
      <c r="B99" s="108"/>
      <c r="C99" s="108"/>
      <c r="D99" s="109"/>
      <c r="E99" s="109"/>
      <c r="F99" s="109"/>
      <c r="G99" s="109"/>
    </row>
    <row r="100" ht="16.5" customHeight="1">
      <c r="A100" s="107"/>
      <c r="B100" s="108"/>
      <c r="C100" s="108"/>
      <c r="D100" s="109"/>
      <c r="E100" s="109"/>
      <c r="F100" s="109"/>
      <c r="G100" s="109"/>
    </row>
    <row r="101" ht="16.5" customHeight="1">
      <c r="A101" s="107"/>
      <c r="B101" s="108"/>
      <c r="C101" s="108"/>
      <c r="D101" s="109"/>
      <c r="E101" s="109"/>
      <c r="F101" s="109"/>
      <c r="G101" s="109"/>
    </row>
    <row r="102" ht="16.5" customHeight="1">
      <c r="A102" s="107"/>
      <c r="B102" s="108"/>
      <c r="C102" s="108"/>
      <c r="D102" s="109"/>
      <c r="E102" s="109"/>
      <c r="F102" s="109"/>
      <c r="G102" s="109"/>
    </row>
    <row r="103" ht="16.5" customHeight="1">
      <c r="A103" s="107"/>
      <c r="B103" s="108"/>
      <c r="C103" s="108"/>
      <c r="D103" s="109"/>
      <c r="E103" s="109"/>
      <c r="F103" s="109"/>
      <c r="G103" s="109"/>
    </row>
    <row r="104" ht="16.5" customHeight="1">
      <c r="A104" s="107"/>
      <c r="B104" s="108"/>
      <c r="C104" s="108"/>
      <c r="D104" s="109"/>
      <c r="E104" s="109"/>
      <c r="F104" s="109"/>
      <c r="G104" s="109"/>
    </row>
    <row r="105" ht="16.5" customHeight="1">
      <c r="A105" s="107"/>
      <c r="B105" s="108"/>
      <c r="C105" s="108"/>
      <c r="D105" s="109"/>
      <c r="E105" s="109"/>
      <c r="F105" s="109"/>
      <c r="G105" s="109"/>
    </row>
    <row r="106" ht="16.5" customHeight="1">
      <c r="A106" s="107"/>
      <c r="B106" s="108"/>
      <c r="C106" s="108"/>
      <c r="D106" s="109"/>
      <c r="E106" s="109"/>
      <c r="F106" s="109"/>
      <c r="G106" s="109"/>
    </row>
    <row r="107" ht="16.5" customHeight="1">
      <c r="A107" s="107"/>
      <c r="B107" s="108"/>
      <c r="C107" s="108"/>
      <c r="D107" s="109"/>
      <c r="E107" s="109"/>
      <c r="F107" s="109"/>
      <c r="G107" s="109"/>
    </row>
    <row r="108" ht="16.5" customHeight="1">
      <c r="A108" s="107"/>
      <c r="B108" s="108"/>
      <c r="C108" s="108"/>
      <c r="D108" s="109"/>
      <c r="E108" s="109"/>
      <c r="F108" s="109"/>
      <c r="G108" s="109"/>
    </row>
    <row r="109" ht="16.5" customHeight="1">
      <c r="A109" s="107"/>
      <c r="B109" s="108"/>
      <c r="C109" s="108"/>
      <c r="D109" s="109"/>
      <c r="E109" s="109"/>
      <c r="F109" s="109"/>
      <c r="G109" s="109"/>
    </row>
    <row r="110" ht="16.5" customHeight="1">
      <c r="A110" s="107"/>
      <c r="B110" s="108"/>
      <c r="C110" s="108"/>
      <c r="D110" s="109"/>
      <c r="E110" s="109"/>
      <c r="F110" s="109"/>
      <c r="G110" s="109"/>
    </row>
    <row r="111" ht="16.5" customHeight="1">
      <c r="A111" s="107"/>
      <c r="B111" s="108"/>
      <c r="C111" s="108"/>
      <c r="D111" s="109"/>
      <c r="E111" s="109"/>
      <c r="F111" s="109"/>
      <c r="G111" s="109"/>
    </row>
    <row r="112" ht="16.5" customHeight="1">
      <c r="A112" s="107"/>
      <c r="B112" s="108"/>
      <c r="C112" s="108"/>
      <c r="D112" s="109"/>
      <c r="E112" s="109"/>
      <c r="F112" s="109"/>
      <c r="G112" s="109"/>
    </row>
    <row r="113" ht="16.5" customHeight="1">
      <c r="A113" s="107"/>
      <c r="B113" s="108"/>
      <c r="C113" s="108"/>
      <c r="D113" s="109"/>
      <c r="E113" s="109"/>
      <c r="F113" s="109"/>
      <c r="G113" s="109"/>
    </row>
    <row r="114" ht="16.5" customHeight="1">
      <c r="A114" s="107"/>
      <c r="B114" s="108"/>
      <c r="C114" s="108"/>
      <c r="D114" s="109"/>
      <c r="E114" s="109"/>
      <c r="F114" s="109"/>
      <c r="G114" s="109"/>
    </row>
    <row r="115" ht="16.5" customHeight="1">
      <c r="A115" s="107"/>
      <c r="B115" s="108"/>
      <c r="C115" s="108"/>
      <c r="D115" s="109"/>
      <c r="E115" s="109"/>
      <c r="F115" s="109"/>
      <c r="G115" s="109"/>
    </row>
    <row r="116" ht="16.5" customHeight="1">
      <c r="A116" s="107"/>
      <c r="B116" s="108"/>
      <c r="C116" s="108"/>
      <c r="D116" s="109"/>
      <c r="E116" s="109"/>
      <c r="F116" s="109"/>
      <c r="G116" s="109"/>
    </row>
    <row r="117" ht="16.5" customHeight="1">
      <c r="A117" s="107"/>
      <c r="B117" s="108"/>
      <c r="C117" s="108"/>
      <c r="D117" s="109"/>
      <c r="E117" s="109"/>
      <c r="F117" s="109"/>
      <c r="G117" s="109"/>
    </row>
    <row r="118" ht="16.5" customHeight="1">
      <c r="A118" s="107"/>
      <c r="B118" s="108"/>
      <c r="C118" s="108"/>
      <c r="D118" s="109"/>
      <c r="E118" s="109"/>
      <c r="F118" s="109"/>
      <c r="G118" s="109"/>
    </row>
    <row r="119" ht="16.5" customHeight="1">
      <c r="A119" s="107"/>
      <c r="B119" s="108"/>
      <c r="C119" s="108"/>
      <c r="D119" s="109"/>
      <c r="E119" s="109"/>
      <c r="F119" s="109"/>
      <c r="G119" s="109"/>
    </row>
    <row r="120" ht="16.5" customHeight="1">
      <c r="A120" s="107"/>
      <c r="B120" s="108"/>
      <c r="C120" s="108"/>
      <c r="D120" s="109"/>
      <c r="E120" s="109"/>
      <c r="F120" s="109"/>
      <c r="G120" s="109"/>
    </row>
    <row r="121" ht="16.5" customHeight="1">
      <c r="A121" s="107"/>
      <c r="B121" s="108"/>
      <c r="C121" s="108"/>
      <c r="D121" s="109"/>
      <c r="E121" s="109"/>
      <c r="F121" s="109"/>
      <c r="G121" s="109"/>
    </row>
    <row r="122" ht="16.5" customHeight="1">
      <c r="A122" s="107"/>
      <c r="B122" s="108"/>
      <c r="C122" s="108"/>
      <c r="D122" s="109"/>
      <c r="E122" s="109"/>
      <c r="F122" s="109"/>
      <c r="G122" s="109"/>
    </row>
    <row r="123" ht="16.5" customHeight="1">
      <c r="A123" s="107"/>
      <c r="B123" s="108"/>
      <c r="C123" s="108"/>
      <c r="D123" s="109"/>
      <c r="E123" s="109"/>
      <c r="F123" s="109"/>
      <c r="G123" s="109"/>
    </row>
    <row r="124" ht="16.5" customHeight="1">
      <c r="A124" s="107"/>
      <c r="B124" s="108"/>
      <c r="C124" s="108"/>
      <c r="D124" s="109"/>
      <c r="E124" s="109"/>
      <c r="F124" s="109"/>
      <c r="G124" s="109"/>
    </row>
    <row r="125" ht="16.5" customHeight="1">
      <c r="A125" s="107"/>
      <c r="B125" s="108"/>
      <c r="C125" s="108"/>
      <c r="D125" s="109"/>
      <c r="E125" s="109"/>
      <c r="F125" s="109"/>
      <c r="G125" s="109"/>
    </row>
    <row r="126" ht="16.5" customHeight="1">
      <c r="A126" s="107"/>
      <c r="B126" s="108"/>
      <c r="C126" s="108"/>
      <c r="D126" s="109"/>
      <c r="E126" s="109"/>
      <c r="F126" s="109"/>
      <c r="G126" s="109"/>
    </row>
    <row r="127" ht="16.5" customHeight="1">
      <c r="A127" s="107"/>
      <c r="B127" s="108"/>
      <c r="C127" s="108"/>
      <c r="D127" s="109"/>
      <c r="E127" s="109"/>
      <c r="F127" s="109"/>
      <c r="G127" s="109"/>
    </row>
    <row r="128" ht="16.5" customHeight="1">
      <c r="A128" s="107"/>
      <c r="B128" s="108"/>
      <c r="C128" s="108"/>
      <c r="D128" s="109"/>
      <c r="E128" s="109"/>
      <c r="F128" s="109"/>
      <c r="G128" s="109"/>
    </row>
    <row r="129" ht="16.5" customHeight="1">
      <c r="A129" s="107"/>
      <c r="B129" s="108"/>
      <c r="C129" s="108"/>
      <c r="D129" s="109"/>
      <c r="E129" s="109"/>
      <c r="F129" s="109"/>
      <c r="G129" s="109"/>
    </row>
    <row r="130" ht="16.5" customHeight="1">
      <c r="A130" s="107"/>
      <c r="B130" s="108"/>
      <c r="C130" s="108"/>
      <c r="D130" s="109"/>
      <c r="E130" s="109"/>
      <c r="F130" s="109"/>
      <c r="G130" s="109"/>
    </row>
    <row r="131" ht="16.5" customHeight="1">
      <c r="A131" s="107"/>
      <c r="B131" s="108"/>
      <c r="C131" s="108"/>
      <c r="D131" s="109"/>
      <c r="E131" s="109"/>
      <c r="F131" s="109"/>
      <c r="G131" s="109"/>
    </row>
    <row r="132" ht="16.5" customHeight="1">
      <c r="A132" s="107"/>
      <c r="B132" s="108"/>
      <c r="C132" s="108"/>
      <c r="D132" s="109"/>
      <c r="E132" s="109"/>
      <c r="F132" s="109"/>
      <c r="G132" s="109"/>
    </row>
    <row r="133" ht="16.5" customHeight="1">
      <c r="A133" s="107"/>
      <c r="B133" s="108"/>
      <c r="C133" s="108"/>
      <c r="D133" s="109"/>
      <c r="E133" s="109"/>
      <c r="F133" s="109"/>
      <c r="G133" s="109"/>
    </row>
    <row r="134" ht="16.5" customHeight="1">
      <c r="A134" s="107"/>
      <c r="B134" s="108"/>
      <c r="C134" s="108"/>
      <c r="D134" s="109"/>
      <c r="E134" s="109"/>
      <c r="F134" s="109"/>
      <c r="G134" s="109"/>
    </row>
    <row r="135" ht="16.5" customHeight="1">
      <c r="A135" s="107"/>
      <c r="B135" s="108"/>
      <c r="C135" s="108"/>
      <c r="D135" s="109"/>
      <c r="E135" s="109"/>
      <c r="F135" s="109"/>
      <c r="G135" s="109"/>
    </row>
    <row r="136" ht="16.5" customHeight="1">
      <c r="A136" s="107"/>
      <c r="B136" s="108"/>
      <c r="C136" s="108"/>
      <c r="D136" s="109"/>
      <c r="E136" s="109"/>
      <c r="F136" s="109"/>
      <c r="G136" s="109"/>
    </row>
    <row r="137" ht="16.5" customHeight="1">
      <c r="A137" s="107"/>
      <c r="B137" s="108"/>
      <c r="C137" s="108"/>
      <c r="D137" s="109"/>
      <c r="E137" s="109"/>
      <c r="F137" s="109"/>
      <c r="G137" s="109"/>
    </row>
    <row r="138" ht="16.5" customHeight="1">
      <c r="A138" s="107"/>
      <c r="B138" s="108"/>
      <c r="C138" s="108"/>
      <c r="D138" s="109"/>
      <c r="E138" s="109"/>
      <c r="F138" s="109"/>
      <c r="G138" s="109"/>
    </row>
    <row r="139" ht="16.5" customHeight="1">
      <c r="A139" s="107"/>
      <c r="B139" s="108"/>
      <c r="C139" s="108"/>
      <c r="D139" s="109"/>
      <c r="E139" s="109"/>
      <c r="F139" s="109"/>
      <c r="G139" s="109"/>
    </row>
    <row r="140" ht="16.5" customHeight="1">
      <c r="A140" s="107"/>
      <c r="B140" s="108"/>
      <c r="C140" s="108"/>
      <c r="D140" s="109"/>
      <c r="E140" s="109"/>
      <c r="F140" s="109"/>
      <c r="G140" s="109"/>
    </row>
    <row r="141" ht="16.5" customHeight="1">
      <c r="A141" s="107"/>
      <c r="B141" s="108"/>
      <c r="C141" s="108"/>
      <c r="D141" s="109"/>
      <c r="E141" s="109"/>
      <c r="F141" s="109"/>
      <c r="G141" s="109"/>
    </row>
    <row r="142" ht="16.5" customHeight="1">
      <c r="A142" s="107"/>
      <c r="B142" s="108"/>
      <c r="C142" s="108"/>
      <c r="D142" s="109"/>
      <c r="E142" s="109"/>
      <c r="F142" s="109"/>
      <c r="G142" s="109"/>
    </row>
    <row r="143" ht="16.5" customHeight="1">
      <c r="A143" s="107"/>
      <c r="B143" s="108"/>
      <c r="C143" s="108"/>
      <c r="D143" s="109"/>
      <c r="E143" s="109"/>
      <c r="F143" s="109"/>
      <c r="G143" s="109"/>
    </row>
    <row r="144" ht="16.5" customHeight="1">
      <c r="A144" s="107"/>
      <c r="B144" s="108"/>
      <c r="C144" s="108"/>
      <c r="D144" s="109"/>
      <c r="E144" s="109"/>
      <c r="F144" s="109"/>
      <c r="G144" s="109"/>
    </row>
    <row r="145" ht="16.5" customHeight="1">
      <c r="A145" s="107"/>
      <c r="B145" s="108"/>
      <c r="C145" s="108"/>
      <c r="D145" s="109"/>
      <c r="E145" s="109"/>
      <c r="F145" s="109"/>
      <c r="G145" s="109"/>
    </row>
    <row r="146" ht="16.5" customHeight="1">
      <c r="A146" s="107"/>
      <c r="B146" s="108"/>
      <c r="C146" s="108"/>
      <c r="D146" s="109"/>
      <c r="E146" s="109"/>
      <c r="F146" s="109"/>
      <c r="G146" s="109"/>
    </row>
    <row r="147" ht="16.5" customHeight="1">
      <c r="A147" s="107"/>
      <c r="B147" s="108"/>
      <c r="C147" s="108"/>
      <c r="D147" s="109"/>
      <c r="E147" s="109"/>
      <c r="F147" s="109"/>
      <c r="G147" s="109"/>
    </row>
    <row r="148" ht="16.5" customHeight="1">
      <c r="A148" s="107"/>
      <c r="B148" s="108"/>
      <c r="C148" s="108"/>
      <c r="D148" s="109"/>
      <c r="E148" s="109"/>
      <c r="F148" s="109"/>
      <c r="G148" s="109"/>
    </row>
    <row r="149" ht="16.5" customHeight="1">
      <c r="A149" s="107"/>
      <c r="B149" s="108"/>
      <c r="C149" s="108"/>
      <c r="D149" s="109"/>
      <c r="E149" s="109"/>
      <c r="F149" s="109"/>
      <c r="G149" s="109"/>
    </row>
    <row r="150" ht="16.5" customHeight="1">
      <c r="A150" s="107"/>
      <c r="B150" s="108"/>
      <c r="C150" s="108"/>
      <c r="D150" s="109"/>
      <c r="E150" s="109"/>
      <c r="F150" s="109"/>
      <c r="G150" s="109"/>
    </row>
    <row r="151" ht="16.5" customHeight="1">
      <c r="A151" s="107"/>
      <c r="B151" s="108"/>
      <c r="C151" s="108"/>
      <c r="D151" s="109"/>
      <c r="E151" s="109"/>
      <c r="F151" s="109"/>
      <c r="G151" s="109"/>
    </row>
    <row r="152" ht="16.5" customHeight="1">
      <c r="A152" s="107"/>
      <c r="B152" s="108"/>
      <c r="C152" s="108"/>
      <c r="D152" s="109"/>
      <c r="E152" s="109"/>
      <c r="F152" s="109"/>
      <c r="G152" s="109"/>
    </row>
    <row r="153" ht="16.5" customHeight="1">
      <c r="A153" s="107"/>
      <c r="B153" s="108"/>
      <c r="C153" s="108"/>
      <c r="D153" s="109"/>
      <c r="E153" s="109"/>
      <c r="F153" s="109"/>
      <c r="G153" s="109"/>
    </row>
    <row r="154" ht="16.5" customHeight="1">
      <c r="A154" s="107"/>
      <c r="B154" s="108"/>
      <c r="C154" s="108"/>
      <c r="D154" s="109"/>
      <c r="E154" s="109"/>
      <c r="F154" s="109"/>
      <c r="G154" s="109"/>
    </row>
    <row r="155" ht="16.5" customHeight="1">
      <c r="A155" s="107"/>
      <c r="B155" s="108"/>
      <c r="C155" s="108"/>
      <c r="D155" s="109"/>
      <c r="E155" s="109"/>
      <c r="F155" s="109"/>
      <c r="G155" s="109"/>
    </row>
    <row r="156" ht="16.5" customHeight="1">
      <c r="A156" s="107"/>
      <c r="B156" s="108"/>
      <c r="C156" s="108"/>
      <c r="D156" s="109"/>
      <c r="E156" s="109"/>
      <c r="F156" s="109"/>
      <c r="G156" s="109"/>
    </row>
    <row r="157" ht="16.5" customHeight="1">
      <c r="A157" s="107"/>
      <c r="B157" s="108"/>
      <c r="C157" s="108"/>
      <c r="D157" s="109"/>
      <c r="E157" s="109"/>
      <c r="F157" s="109"/>
      <c r="G157" s="109"/>
    </row>
    <row r="158" ht="16.5" customHeight="1">
      <c r="A158" s="107"/>
      <c r="B158" s="108"/>
      <c r="C158" s="108"/>
      <c r="D158" s="109"/>
      <c r="E158" s="109"/>
      <c r="F158" s="109"/>
      <c r="G158" s="109"/>
    </row>
    <row r="159" ht="16.5" customHeight="1">
      <c r="A159" s="107"/>
      <c r="B159" s="108"/>
      <c r="C159" s="108"/>
      <c r="D159" s="109"/>
      <c r="E159" s="109"/>
      <c r="F159" s="109"/>
      <c r="G159" s="109"/>
    </row>
    <row r="160" ht="16.5" customHeight="1">
      <c r="A160" s="107"/>
      <c r="B160" s="108"/>
      <c r="C160" s="108"/>
      <c r="D160" s="109"/>
      <c r="E160" s="109"/>
      <c r="F160" s="109"/>
      <c r="G160" s="109"/>
    </row>
    <row r="161" ht="16.5" customHeight="1">
      <c r="A161" s="107"/>
      <c r="B161" s="108"/>
      <c r="C161" s="108"/>
      <c r="D161" s="109"/>
      <c r="E161" s="109"/>
      <c r="F161" s="109"/>
      <c r="G161" s="109"/>
    </row>
    <row r="162" ht="16.5" customHeight="1">
      <c r="A162" s="107"/>
      <c r="B162" s="108"/>
      <c r="C162" s="108"/>
      <c r="D162" s="109"/>
      <c r="E162" s="109"/>
      <c r="F162" s="109"/>
      <c r="G162" s="109"/>
    </row>
    <row r="163" ht="16.5" customHeight="1">
      <c r="A163" s="107"/>
      <c r="B163" s="108"/>
      <c r="C163" s="108"/>
      <c r="D163" s="109"/>
      <c r="E163" s="109"/>
      <c r="F163" s="109"/>
      <c r="G163" s="109"/>
    </row>
    <row r="164" ht="16.5" customHeight="1">
      <c r="A164" s="107"/>
      <c r="B164" s="108"/>
      <c r="C164" s="108"/>
      <c r="D164" s="109"/>
      <c r="E164" s="109"/>
      <c r="F164" s="109"/>
      <c r="G164" s="109"/>
    </row>
    <row r="165" ht="16.5" customHeight="1">
      <c r="A165" s="107"/>
      <c r="B165" s="108"/>
      <c r="C165" s="108"/>
      <c r="D165" s="109"/>
      <c r="E165" s="109"/>
      <c r="F165" s="109"/>
      <c r="G165" s="109"/>
    </row>
    <row r="166" ht="16.5" customHeight="1">
      <c r="A166" s="107"/>
      <c r="B166" s="108"/>
      <c r="C166" s="108"/>
      <c r="D166" s="109"/>
      <c r="E166" s="109"/>
      <c r="F166" s="109"/>
      <c r="G166" s="109"/>
    </row>
    <row r="167" ht="16.5" customHeight="1">
      <c r="A167" s="107"/>
      <c r="B167" s="108"/>
      <c r="C167" s="108"/>
      <c r="D167" s="109"/>
      <c r="E167" s="109"/>
      <c r="F167" s="109"/>
      <c r="G167" s="109"/>
    </row>
    <row r="168" ht="16.5" customHeight="1">
      <c r="A168" s="107"/>
      <c r="B168" s="108"/>
      <c r="C168" s="108"/>
      <c r="D168" s="109"/>
      <c r="E168" s="109"/>
      <c r="F168" s="109"/>
      <c r="G168" s="109"/>
    </row>
    <row r="169" ht="16.5" customHeight="1">
      <c r="A169" s="107"/>
      <c r="B169" s="108"/>
      <c r="C169" s="108"/>
      <c r="D169" s="109"/>
      <c r="E169" s="109"/>
      <c r="F169" s="109"/>
      <c r="G169" s="109"/>
    </row>
    <row r="170" ht="16.5" customHeight="1">
      <c r="A170" s="107"/>
      <c r="B170" s="108"/>
      <c r="C170" s="108"/>
      <c r="D170" s="109"/>
      <c r="E170" s="109"/>
      <c r="F170" s="109"/>
      <c r="G170" s="109"/>
    </row>
    <row r="171" ht="16.5" customHeight="1">
      <c r="A171" s="107"/>
      <c r="B171" s="108"/>
      <c r="C171" s="108"/>
      <c r="D171" s="109"/>
      <c r="E171" s="109"/>
      <c r="F171" s="109"/>
      <c r="G171" s="109"/>
    </row>
    <row r="172" ht="16.5" customHeight="1">
      <c r="A172" s="107"/>
      <c r="B172" s="108"/>
      <c r="C172" s="108"/>
      <c r="D172" s="109"/>
      <c r="E172" s="109"/>
      <c r="F172" s="109"/>
      <c r="G172" s="109"/>
    </row>
    <row r="173" ht="16.5" customHeight="1">
      <c r="A173" s="107"/>
      <c r="B173" s="108"/>
      <c r="C173" s="108"/>
      <c r="D173" s="109"/>
      <c r="E173" s="109"/>
      <c r="F173" s="109"/>
      <c r="G173" s="109"/>
    </row>
    <row r="174" ht="16.5" customHeight="1">
      <c r="A174" s="107"/>
      <c r="B174" s="108"/>
      <c r="C174" s="108"/>
      <c r="D174" s="109"/>
      <c r="E174" s="109"/>
      <c r="F174" s="109"/>
      <c r="G174" s="109"/>
    </row>
    <row r="175" ht="16.5" customHeight="1">
      <c r="A175" s="107"/>
      <c r="B175" s="108"/>
      <c r="C175" s="108"/>
      <c r="D175" s="109"/>
      <c r="E175" s="109"/>
      <c r="F175" s="109"/>
      <c r="G175" s="109"/>
    </row>
    <row r="176" ht="16.5" customHeight="1">
      <c r="A176" s="107"/>
      <c r="B176" s="108"/>
      <c r="C176" s="108"/>
      <c r="D176" s="109"/>
      <c r="E176" s="109"/>
      <c r="F176" s="109"/>
      <c r="G176" s="109"/>
    </row>
    <row r="177" ht="16.5" customHeight="1">
      <c r="A177" s="107"/>
      <c r="B177" s="108"/>
      <c r="C177" s="108"/>
      <c r="D177" s="109"/>
      <c r="E177" s="109"/>
      <c r="F177" s="109"/>
      <c r="G177" s="109"/>
    </row>
    <row r="178" ht="16.5" customHeight="1">
      <c r="A178" s="107"/>
      <c r="B178" s="108"/>
      <c r="C178" s="108"/>
      <c r="D178" s="109"/>
      <c r="E178" s="109"/>
      <c r="F178" s="109"/>
      <c r="G178" s="109"/>
    </row>
    <row r="179" ht="16.5" customHeight="1">
      <c r="A179" s="107"/>
      <c r="B179" s="108"/>
      <c r="C179" s="108"/>
      <c r="D179" s="109"/>
      <c r="E179" s="109"/>
      <c r="F179" s="109"/>
      <c r="G179" s="109"/>
    </row>
    <row r="180" ht="16.5" customHeight="1">
      <c r="A180" s="107"/>
      <c r="B180" s="108"/>
      <c r="C180" s="108"/>
      <c r="D180" s="109"/>
      <c r="E180" s="109"/>
      <c r="F180" s="109"/>
      <c r="G180" s="109"/>
    </row>
    <row r="181" ht="16.5" customHeight="1">
      <c r="A181" s="107"/>
      <c r="B181" s="108"/>
      <c r="C181" s="108"/>
      <c r="D181" s="109"/>
      <c r="E181" s="109"/>
      <c r="F181" s="109"/>
      <c r="G181" s="109"/>
    </row>
    <row r="182" ht="16.5" customHeight="1">
      <c r="A182" s="107"/>
      <c r="B182" s="108"/>
      <c r="C182" s="108"/>
      <c r="D182" s="109"/>
      <c r="E182" s="109"/>
      <c r="F182" s="109"/>
      <c r="G182" s="109"/>
    </row>
    <row r="183" ht="16.5" customHeight="1">
      <c r="A183" s="107"/>
      <c r="B183" s="108"/>
      <c r="C183" s="108"/>
      <c r="D183" s="109"/>
      <c r="E183" s="109"/>
      <c r="F183" s="109"/>
      <c r="G183" s="109"/>
    </row>
    <row r="184" ht="16.5" customHeight="1">
      <c r="A184" s="107"/>
      <c r="B184" s="108"/>
      <c r="C184" s="108"/>
      <c r="D184" s="109"/>
      <c r="E184" s="109"/>
      <c r="F184" s="109"/>
      <c r="G184" s="109"/>
    </row>
    <row r="185" ht="16.5" customHeight="1">
      <c r="A185" s="107"/>
      <c r="B185" s="108"/>
      <c r="C185" s="108"/>
      <c r="D185" s="109"/>
      <c r="E185" s="109"/>
      <c r="F185" s="109"/>
      <c r="G185" s="109"/>
    </row>
    <row r="186" ht="16.5" customHeight="1">
      <c r="A186" s="107"/>
      <c r="B186" s="108"/>
      <c r="C186" s="108"/>
      <c r="D186" s="109"/>
      <c r="E186" s="109"/>
      <c r="F186" s="109"/>
      <c r="G186" s="109"/>
    </row>
    <row r="187" ht="16.5" customHeight="1">
      <c r="A187" s="107"/>
      <c r="B187" s="108"/>
      <c r="C187" s="108"/>
      <c r="D187" s="109"/>
      <c r="E187" s="109"/>
      <c r="F187" s="109"/>
      <c r="G187" s="109"/>
    </row>
    <row r="188" ht="16.5" customHeight="1">
      <c r="A188" s="107"/>
      <c r="B188" s="108"/>
      <c r="C188" s="108"/>
      <c r="D188" s="109"/>
      <c r="E188" s="109"/>
      <c r="F188" s="109"/>
      <c r="G188" s="109"/>
    </row>
    <row r="189" ht="16.5" customHeight="1">
      <c r="A189" s="107"/>
      <c r="B189" s="108"/>
      <c r="C189" s="108"/>
      <c r="D189" s="109"/>
      <c r="E189" s="109"/>
      <c r="F189" s="109"/>
      <c r="G189" s="109"/>
    </row>
    <row r="190" ht="16.5" customHeight="1">
      <c r="B190" s="108"/>
      <c r="C190" s="108"/>
      <c r="D190" s="109"/>
      <c r="E190" s="109"/>
      <c r="F190" s="109"/>
      <c r="G190" s="109"/>
    </row>
    <row r="191" ht="16.5" customHeight="1">
      <c r="A191" s="107"/>
      <c r="B191" s="108"/>
      <c r="C191" s="108"/>
      <c r="D191" s="109"/>
      <c r="E191" s="109"/>
      <c r="F191" s="109"/>
      <c r="G191" s="109"/>
    </row>
  </sheetData>
  <mergeCells count="2">
    <mergeCell ref="A4:A5"/>
    <mergeCell ref="B4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.9990234375" defaultRowHeight="16.5" customHeight="1"/>
  <cols>
    <col min="1" max="1" width="10.3330078125" customWidth="1" style="110"/>
    <col min="2" max="2" width="23.5546875" customWidth="1" style="110"/>
    <col min="3" max="3" width="14.1240234375" customWidth="1"/>
    <col min="4" max="4" width="16.5" customWidth="1" style="110"/>
    <col min="5" max="5" width="38.677734375" customWidth="1"/>
    <col min="6" max="6" width="101.197265625" customWidth="1" style="93"/>
  </cols>
  <sheetData>
    <row r="1" s="111" customFormat="1" ht="16.5" customHeight="1">
      <c r="A1" s="112" t="s">
        <v>168</v>
      </c>
      <c r="B1" s="112" t="s">
        <v>169</v>
      </c>
      <c r="C1" s="112" t="s">
        <v>170</v>
      </c>
      <c r="D1" s="112" t="s">
        <v>171</v>
      </c>
      <c r="E1" s="112" t="s">
        <v>172</v>
      </c>
      <c r="F1" s="112" t="s">
        <v>173</v>
      </c>
      <c r="G1" s="114" t="s">
        <v>174</v>
      </c>
      <c r="H1" s="115" t="s">
        <v>175</v>
      </c>
    </row>
    <row r="2" ht="32.42857142857143" customHeight="1">
      <c r="A2" s="119" t="n">
        <v>1</v>
      </c>
      <c r="B2" s="223" t="s">
        <v>176</v>
      </c>
      <c r="C2" s="119" t="s">
        <v>132</v>
      </c>
      <c r="D2" s="119" t="s">
        <v>177</v>
      </c>
      <c r="E2" s="119" t="s">
        <v>178</v>
      </c>
      <c r="F2" s="98" t="s">
        <v>179</v>
      </c>
      <c r="G2" s="96"/>
      <c r="H2" s="224" t="s">
        <v>180</v>
      </c>
    </row>
    <row r="3" ht="34.57142857142857" customHeight="1">
      <c r="A3" s="119"/>
      <c r="B3" s="116"/>
      <c r="C3" s="119"/>
      <c r="D3" s="119"/>
      <c r="E3" s="122"/>
      <c r="F3" s="98" t="s">
        <v>181</v>
      </c>
      <c r="G3" s="96"/>
      <c r="H3" s="150"/>
    </row>
    <row r="4" ht="35.25" customHeight="1">
      <c r="A4" s="119"/>
      <c r="B4" s="116"/>
      <c r="C4" s="119"/>
      <c r="D4" s="119"/>
      <c r="E4" s="122"/>
      <c r="F4" s="98" t="s">
        <v>182</v>
      </c>
      <c r="G4" s="96"/>
      <c r="H4" s="117"/>
    </row>
    <row r="5" ht="37.5" customHeight="1">
      <c r="A5" s="122"/>
      <c r="B5" s="118"/>
      <c r="C5" s="122"/>
      <c r="D5" s="122"/>
      <c r="E5" s="102"/>
      <c r="F5" s="104" t="s">
        <v>183</v>
      </c>
      <c r="G5" s="96"/>
      <c r="H5" s="117"/>
      <c r="J5" s="154"/>
    </row>
    <row r="6" ht="27.75" customHeight="1">
      <c r="A6" s="122"/>
      <c r="B6" s="118"/>
      <c r="C6" s="122"/>
      <c r="D6" s="122"/>
      <c r="E6" s="152" t="s">
        <v>184</v>
      </c>
      <c r="F6" s="128" t="s">
        <v>185</v>
      </c>
      <c r="G6" s="96"/>
      <c r="H6" s="117" t="s">
        <v>186</v>
      </c>
    </row>
    <row r="7" ht="27" customHeight="1">
      <c r="A7" s="127"/>
      <c r="B7" s="140"/>
      <c r="C7" s="127"/>
      <c r="D7" s="127"/>
      <c r="E7" s="153"/>
      <c r="F7" s="139" t="s">
        <v>187</v>
      </c>
      <c r="G7" s="96"/>
      <c r="H7" s="117" t="s">
        <v>186</v>
      </c>
    </row>
    <row r="8" ht="29.25" customHeight="1">
      <c r="A8" s="119" t="n">
        <v>2</v>
      </c>
      <c r="B8" s="225" t="s">
        <v>188</v>
      </c>
      <c r="C8" s="119" t="s">
        <v>189</v>
      </c>
      <c r="D8" s="119" t="s">
        <v>186</v>
      </c>
      <c r="E8" s="226" t="s">
        <v>190</v>
      </c>
      <c r="F8" s="139" t="s">
        <v>191</v>
      </c>
      <c r="G8" s="96"/>
      <c r="H8" s="117"/>
    </row>
    <row r="9" ht="32.25" customHeight="1">
      <c r="A9" s="122"/>
      <c r="B9" s="118"/>
      <c r="C9" s="122"/>
      <c r="D9" s="122"/>
      <c r="E9" s="97"/>
      <c r="F9" s="139" t="s">
        <v>192</v>
      </c>
      <c r="G9" s="96"/>
      <c r="H9" s="117"/>
    </row>
    <row r="10" ht="36" customHeight="1">
      <c r="A10" s="122"/>
      <c r="B10" s="118"/>
      <c r="C10" s="122"/>
      <c r="D10" s="122"/>
      <c r="E10" s="97"/>
      <c r="F10" s="139" t="s">
        <v>193</v>
      </c>
      <c r="G10" s="96"/>
      <c r="H10" s="117"/>
    </row>
    <row r="11" ht="34.5" customHeight="1">
      <c r="A11" s="122"/>
      <c r="B11" s="118"/>
      <c r="C11" s="122"/>
      <c r="D11" s="122"/>
      <c r="E11" s="97"/>
      <c r="F11" s="139" t="s">
        <v>194</v>
      </c>
      <c r="G11" s="96"/>
      <c r="H11" s="117"/>
    </row>
    <row r="12" ht="36.75" customHeight="1">
      <c r="A12" s="122"/>
      <c r="B12" s="118"/>
      <c r="C12" s="122"/>
      <c r="D12" s="122"/>
      <c r="E12" s="119" t="s">
        <v>195</v>
      </c>
      <c r="F12" s="139"/>
      <c r="G12" s="96"/>
      <c r="H12" s="117" t="s">
        <v>196</v>
      </c>
    </row>
    <row r="13" ht="37.5" customHeight="1">
      <c r="A13" s="122"/>
      <c r="B13" s="118"/>
      <c r="C13" s="122"/>
      <c r="D13" s="122"/>
      <c r="E13" s="119" t="s">
        <v>197</v>
      </c>
      <c r="F13" s="139"/>
      <c r="G13" s="96"/>
      <c r="H13" s="117"/>
    </row>
    <row r="14" ht="28.5" customHeight="1">
      <c r="A14" s="119" t="n">
        <v>3</v>
      </c>
      <c r="B14" s="227" t="s">
        <v>198</v>
      </c>
      <c r="C14" s="119" t="s">
        <v>145</v>
      </c>
      <c r="D14" s="119" t="s">
        <v>196</v>
      </c>
      <c r="E14" s="228" t="s">
        <v>199</v>
      </c>
      <c r="F14" s="139" t="s">
        <v>200</v>
      </c>
      <c r="G14" s="96"/>
      <c r="H14" s="117"/>
    </row>
    <row r="15" ht="31.5" customHeight="1">
      <c r="A15" s="122"/>
      <c r="B15" s="151"/>
      <c r="C15" s="122"/>
      <c r="D15" s="122"/>
      <c r="E15" s="122"/>
      <c r="F15" s="139" t="s">
        <v>201</v>
      </c>
      <c r="G15" s="96"/>
      <c r="H15" s="117"/>
    </row>
    <row r="16" ht="27.75" customHeight="1">
      <c r="A16" s="122"/>
      <c r="B16" s="151"/>
      <c r="C16" s="122"/>
      <c r="D16" s="122"/>
      <c r="E16" s="122"/>
      <c r="F16" s="139" t="s">
        <v>202</v>
      </c>
      <c r="G16" s="96"/>
      <c r="H16" s="117"/>
    </row>
    <row r="17" ht="25.5" customHeight="1">
      <c r="A17" s="119" t="n">
        <v>4</v>
      </c>
      <c r="B17" s="229" t="s">
        <v>203</v>
      </c>
      <c r="C17" s="119" t="s">
        <v>149</v>
      </c>
      <c r="D17" s="119" t="s">
        <v>204</v>
      </c>
      <c r="E17" s="119" t="s">
        <v>205</v>
      </c>
      <c r="F17" s="139" t="s">
        <v>206</v>
      </c>
      <c r="G17" s="96"/>
      <c r="H17" s="117"/>
    </row>
    <row r="18" ht="31.5" customHeight="1">
      <c r="A18" s="122"/>
      <c r="B18" s="118"/>
      <c r="C18" s="136"/>
      <c r="D18" s="136"/>
      <c r="E18" s="136"/>
      <c r="F18" s="139" t="s">
        <v>207</v>
      </c>
      <c r="G18" s="96"/>
      <c r="H18" s="117"/>
    </row>
    <row r="19" ht="30" customHeight="1">
      <c r="A19" s="127"/>
      <c r="B19" s="140"/>
      <c r="C19" s="137"/>
      <c r="D19" s="137"/>
      <c r="E19" s="137"/>
      <c r="F19" s="139" t="s">
        <v>208</v>
      </c>
      <c r="G19" s="96"/>
      <c r="H19" s="117"/>
    </row>
    <row r="20" ht="30.75" customHeight="1">
      <c r="A20" s="119" t="n">
        <v>5</v>
      </c>
      <c r="B20" s="230" t="s">
        <v>209</v>
      </c>
      <c r="C20" s="119" t="s">
        <v>210</v>
      </c>
      <c r="D20" s="119" t="s">
        <v>211</v>
      </c>
      <c r="E20" s="119" t="s">
        <v>212</v>
      </c>
      <c r="F20" s="139" t="s">
        <v>213</v>
      </c>
      <c r="G20" s="96"/>
      <c r="H20" s="117"/>
    </row>
    <row r="21" ht="27" customHeight="1">
      <c r="A21" s="122"/>
      <c r="B21" s="156"/>
      <c r="C21" s="136"/>
      <c r="D21" s="136"/>
      <c r="E21" s="136"/>
      <c r="F21" s="139" t="s">
        <v>214</v>
      </c>
      <c r="G21" s="96"/>
      <c r="H21" s="117"/>
    </row>
    <row r="22" ht="32.25" customHeight="1">
      <c r="A22" s="127"/>
      <c r="B22" s="157"/>
      <c r="C22" s="137"/>
      <c r="D22" s="137"/>
      <c r="E22" s="137"/>
      <c r="F22" s="139" t="s">
        <v>215</v>
      </c>
      <c r="G22" s="96"/>
      <c r="H22" s="117"/>
    </row>
    <row r="24" ht="16.5" customHeight="1">
      <c r="F24" s="93" t="s">
        <v>216</v>
      </c>
    </row>
    <row r="25" ht="16.5" customHeight="1">
      <c r="F25" s="93" t="s">
        <v>217</v>
      </c>
    </row>
    <row r="26" ht="16.5" customHeight="1">
      <c r="A26" s="110" t="s">
        <v>127</v>
      </c>
    </row>
    <row r="27" ht="16.5" customHeight="1">
      <c r="A27" s="100" t="s">
        <v>218</v>
      </c>
      <c r="B27" s="100" t="s">
        <v>219</v>
      </c>
      <c r="C27" s="103" t="s">
        <v>220</v>
      </c>
    </row>
    <row r="28" ht="16.5" customHeight="1">
      <c r="A28" s="100" t="s">
        <v>221</v>
      </c>
      <c r="B28" s="100" t="s">
        <v>222</v>
      </c>
      <c r="C28" s="103" t="s">
        <v>223</v>
      </c>
    </row>
    <row r="29" ht="16.5" customHeight="1">
      <c r="A29" s="100" t="s">
        <v>224</v>
      </c>
      <c r="B29" s="100" t="s">
        <v>225</v>
      </c>
      <c r="C29" s="103" t="s">
        <v>226</v>
      </c>
    </row>
    <row r="30" ht="16.5" customHeight="1">
      <c r="A30" s="100" t="s">
        <v>227</v>
      </c>
      <c r="B30" s="100" t="s">
        <v>228</v>
      </c>
      <c r="C30" s="103" t="s">
        <v>229</v>
      </c>
    </row>
    <row r="31" ht="16.5" customHeight="1">
      <c r="A31" s="100" t="s">
        <v>230</v>
      </c>
      <c r="B31" s="100" t="s">
        <v>231</v>
      </c>
      <c r="C31" s="103" t="s">
        <v>232</v>
      </c>
    </row>
    <row r="32" ht="16.5" customHeight="1">
      <c r="A32" s="100" t="s">
        <v>233</v>
      </c>
      <c r="B32" s="100" t="s">
        <v>234</v>
      </c>
      <c r="C32" s="103" t="s">
        <v>235</v>
      </c>
    </row>
    <row r="33" ht="16.5" customHeight="1">
      <c r="A33" s="100" t="s">
        <v>236</v>
      </c>
      <c r="B33" s="100" t="s">
        <v>237</v>
      </c>
      <c r="C33" s="103" t="s">
        <v>238</v>
      </c>
    </row>
  </sheetData>
  <mergeCells count="27">
    <mergeCell ref="E8:E11"/>
    <mergeCell ref="A20:A22"/>
    <mergeCell ref="B20:B22"/>
    <mergeCell ref="C20:C22"/>
    <mergeCell ref="D20:D22"/>
    <mergeCell ref="E20:E22"/>
    <mergeCell ref="E17:E19"/>
    <mergeCell ref="D17:D19"/>
    <mergeCell ref="C17:C19"/>
    <mergeCell ref="B17:B19"/>
    <mergeCell ref="A17:A19"/>
    <mergeCell ref="B8:B13"/>
    <mergeCell ref="A8:A13"/>
    <mergeCell ref="C8:C13"/>
    <mergeCell ref="D8:D13"/>
    <mergeCell ref="E6:E7"/>
    <mergeCell ref="B2:B7"/>
    <mergeCell ref="C2:C7"/>
    <mergeCell ref="D2:D7"/>
    <mergeCell ref="A2:A7"/>
    <mergeCell ref="E2:E5"/>
    <mergeCell ref="H2:H3"/>
    <mergeCell ref="B14:B16"/>
    <mergeCell ref="A14:A16"/>
    <mergeCell ref="C14:C16"/>
    <mergeCell ref="D14:D16"/>
    <mergeCell ref="E14:E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1240234375" customWidth="1"/>
    <col min="2" max="2" width="7.5" customWidth="1"/>
    <col min="3" max="3" width="27.375"/>
    <col min="4" max="4" width="39.0234375"/>
    <col min="5" max="5" width="74.625" style="93"/>
    <col min="6" max="6" width="39.4189453125"/>
  </cols>
  <sheetData>
    <row r="1" ht="16.5" customHeight="1">
      <c r="A1" s="165" t="s">
        <v>239</v>
      </c>
      <c r="B1" s="165" t="s">
        <v>240</v>
      </c>
      <c r="C1" s="165" t="s">
        <v>241</v>
      </c>
      <c r="D1" s="165" t="s">
        <v>242</v>
      </c>
      <c r="E1" s="166" t="s">
        <v>243</v>
      </c>
      <c r="F1" s="164"/>
    </row>
    <row r="2" s="144" customFormat="1" ht="16.5" customHeight="1">
      <c r="A2" s="168" t="s">
        <v>244</v>
      </c>
      <c r="B2" s="168" t="s">
        <v>245</v>
      </c>
      <c r="C2" s="168" t="s">
        <v>246</v>
      </c>
      <c r="D2" s="168" t="s">
        <v>247</v>
      </c>
      <c r="E2" s="169" t="s">
        <v>248</v>
      </c>
      <c r="F2" s="167"/>
    </row>
    <row r="3" ht="16.5" customHeight="1">
      <c r="A3" s="170" t="s">
        <v>249</v>
      </c>
      <c r="B3" s="170" t="s">
        <v>204</v>
      </c>
      <c r="C3" s="170" t="s">
        <v>250</v>
      </c>
      <c r="D3" s="170" t="s">
        <v>251</v>
      </c>
      <c r="E3" s="171" t="s">
        <v>252</v>
      </c>
      <c r="F3" s="164"/>
    </row>
    <row r="4" s="144" customFormat="1" ht="16.5" customHeight="1">
      <c r="A4" s="170" t="s">
        <v>253</v>
      </c>
      <c r="B4" s="170" t="s">
        <v>211</v>
      </c>
      <c r="C4" s="170" t="s">
        <v>254</v>
      </c>
      <c r="D4" s="170" t="s">
        <v>255</v>
      </c>
      <c r="E4" s="171" t="s">
        <v>256</v>
      </c>
      <c r="F4" s="167"/>
    </row>
    <row r="5" ht="16.5" customHeight="1">
      <c r="A5" s="170" t="s">
        <v>257</v>
      </c>
      <c r="B5" s="170" t="s">
        <v>258</v>
      </c>
      <c r="C5" s="170" t="s">
        <v>259</v>
      </c>
      <c r="D5" s="170" t="s">
        <v>260</v>
      </c>
      <c r="E5" s="171" t="s">
        <v>261</v>
      </c>
      <c r="F5" s="164" t="s">
        <v>262</v>
      </c>
    </row>
    <row r="6" s="141" customFormat="1" ht="16.5" customHeight="1">
      <c r="A6" s="142" t="s">
        <v>263</v>
      </c>
      <c r="B6" s="142" t="s">
        <v>264</v>
      </c>
      <c r="C6" s="142" t="s">
        <v>265</v>
      </c>
      <c r="D6" s="142" t="s">
        <v>266</v>
      </c>
      <c r="E6" s="143" t="s">
        <v>267</v>
      </c>
      <c r="F6" s="158"/>
    </row>
    <row r="7" s="141" customFormat="1" ht="16.5" customHeight="1">
      <c r="A7" s="142" t="s">
        <v>263</v>
      </c>
      <c r="B7" s="142" t="s">
        <v>268</v>
      </c>
      <c r="C7" s="142" t="s">
        <v>269</v>
      </c>
      <c r="D7" s="142" t="s">
        <v>270</v>
      </c>
      <c r="E7" s="143" t="s">
        <v>271</v>
      </c>
      <c r="F7" s="158"/>
    </row>
    <row r="8" s="141" customFormat="1" ht="16.5" customHeight="1">
      <c r="A8" s="142" t="s">
        <v>263</v>
      </c>
      <c r="B8" s="142" t="s">
        <v>272</v>
      </c>
      <c r="C8" s="142" t="s">
        <v>273</v>
      </c>
      <c r="D8" s="142" t="s">
        <v>274</v>
      </c>
      <c r="E8" s="143" t="s">
        <v>275</v>
      </c>
      <c r="F8" s="158"/>
    </row>
    <row r="9" s="141" customFormat="1" ht="16.5" customHeight="1">
      <c r="A9" s="142" t="s">
        <v>263</v>
      </c>
      <c r="B9" s="142" t="s">
        <v>276</v>
      </c>
      <c r="C9" s="142" t="s">
        <v>277</v>
      </c>
      <c r="D9" s="142" t="s">
        <v>278</v>
      </c>
      <c r="E9" s="143" t="s">
        <v>279</v>
      </c>
      <c r="F9" s="158"/>
    </row>
    <row r="10" s="144" customFormat="1" ht="16.5" customHeight="1">
      <c r="A10" s="170" t="s">
        <v>280</v>
      </c>
      <c r="B10" s="170" t="s">
        <v>281</v>
      </c>
      <c r="C10" s="170" t="s">
        <v>282</v>
      </c>
      <c r="D10" s="170" t="s">
        <v>283</v>
      </c>
      <c r="E10" s="171" t="s">
        <v>284</v>
      </c>
      <c r="F10" s="167"/>
    </row>
    <row r="11" ht="16.5" customHeight="1">
      <c r="A11" s="162" t="s">
        <v>285</v>
      </c>
      <c r="B11" s="162" t="s">
        <v>286</v>
      </c>
      <c r="C11" s="162" t="s">
        <v>287</v>
      </c>
      <c r="D11" s="162" t="s">
        <v>288</v>
      </c>
      <c r="E11" s="163" t="s">
        <v>289</v>
      </c>
      <c r="F11" s="164"/>
    </row>
    <row r="12" ht="16.5" customHeight="1">
      <c r="A12" s="162" t="s">
        <v>285</v>
      </c>
      <c r="B12" s="162" t="s">
        <v>290</v>
      </c>
      <c r="C12" s="162" t="s">
        <v>291</v>
      </c>
      <c r="D12" s="162" t="s">
        <v>292</v>
      </c>
      <c r="E12" s="163" t="s">
        <v>293</v>
      </c>
      <c r="F12" s="164"/>
    </row>
    <row r="13" ht="16.5" customHeight="1">
      <c r="A13" s="162" t="s">
        <v>285</v>
      </c>
      <c r="B13" s="162" t="s">
        <v>294</v>
      </c>
      <c r="C13" s="162" t="s">
        <v>295</v>
      </c>
      <c r="D13" s="162" t="s">
        <v>296</v>
      </c>
      <c r="E13" s="163" t="s">
        <v>297</v>
      </c>
      <c r="F13" s="164"/>
    </row>
    <row r="14" ht="16.5" customHeight="1">
      <c r="A14" s="162" t="s">
        <v>285</v>
      </c>
      <c r="B14" s="162" t="s">
        <v>298</v>
      </c>
      <c r="C14" s="162" t="s">
        <v>299</v>
      </c>
      <c r="D14" s="162" t="s">
        <v>300</v>
      </c>
      <c r="E14" s="163" t="s">
        <v>301</v>
      </c>
      <c r="F14" s="164"/>
    </row>
    <row r="15" ht="16.5" customHeight="1">
      <c r="A15" s="162" t="s">
        <v>302</v>
      </c>
      <c r="B15" s="162" t="s">
        <v>303</v>
      </c>
      <c r="C15" s="162" t="s">
        <v>304</v>
      </c>
      <c r="D15" s="162" t="s">
        <v>305</v>
      </c>
      <c r="E15" s="163" t="s">
        <v>306</v>
      </c>
      <c r="F15" s="164"/>
    </row>
    <row r="16" ht="16.5" customHeight="1">
      <c r="A16" s="162" t="s">
        <v>302</v>
      </c>
      <c r="B16" s="162" t="s">
        <v>307</v>
      </c>
      <c r="C16" s="162" t="s">
        <v>308</v>
      </c>
      <c r="D16" s="162" t="s">
        <v>309</v>
      </c>
      <c r="E16" s="163" t="s">
        <v>310</v>
      </c>
      <c r="F16" s="164"/>
    </row>
    <row r="17" ht="16.5" customHeight="1">
      <c r="A17" s="170" t="s">
        <v>311</v>
      </c>
      <c r="B17" s="170" t="s">
        <v>312</v>
      </c>
      <c r="C17" s="170" t="s">
        <v>313</v>
      </c>
      <c r="D17" s="170" t="s">
        <v>314</v>
      </c>
      <c r="E17" s="171" t="s">
        <v>315</v>
      </c>
      <c r="F17" s="164"/>
    </row>
    <row r="18" ht="16.5" customHeight="1">
      <c r="A18" s="162" t="s">
        <v>311</v>
      </c>
      <c r="B18" s="162" t="s">
        <v>316</v>
      </c>
      <c r="C18" s="162" t="s">
        <v>317</v>
      </c>
      <c r="D18" s="162" t="s">
        <v>318</v>
      </c>
      <c r="E18" s="163" t="s">
        <v>319</v>
      </c>
      <c r="F18" s="164"/>
    </row>
    <row r="19" ht="16.5" customHeight="1">
      <c r="A19" s="162" t="s">
        <v>311</v>
      </c>
      <c r="B19" s="162" t="s">
        <v>320</v>
      </c>
      <c r="C19" s="162" t="s">
        <v>321</v>
      </c>
      <c r="D19" s="162" t="s">
        <v>322</v>
      </c>
      <c r="E19" s="163" t="s">
        <v>323</v>
      </c>
      <c r="F19" s="164"/>
    </row>
    <row r="20" ht="16.5" customHeight="1">
      <c r="A20" s="162" t="s">
        <v>311</v>
      </c>
      <c r="B20" s="162" t="s">
        <v>324</v>
      </c>
      <c r="C20" s="162" t="s">
        <v>325</v>
      </c>
      <c r="D20" s="162" t="s">
        <v>326</v>
      </c>
      <c r="E20" s="163" t="s">
        <v>327</v>
      </c>
      <c r="F20" s="164"/>
    </row>
    <row r="21" ht="16.5" customHeight="1">
      <c r="A21" s="162" t="s">
        <v>311</v>
      </c>
      <c r="B21" s="162" t="s">
        <v>328</v>
      </c>
      <c r="C21" s="162" t="s">
        <v>329</v>
      </c>
      <c r="D21" s="162" t="s">
        <v>330</v>
      </c>
      <c r="E21" s="163" t="s">
        <v>331</v>
      </c>
      <c r="F21" s="16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2026-02-14T15:15:16Z</dcterms:modified>
</cp:coreProperties>
</file>